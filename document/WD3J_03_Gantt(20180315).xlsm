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Capston\document\"/>
    </mc:Choice>
  </mc:AlternateContent>
  <bookViews>
    <workbookView xWindow="0" yWindow="0" windowWidth="13416" windowHeight="1524"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Schedule!$M$3:$AB$89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E6" i="2"/>
  <c r="AH8" i="2"/>
  <c r="AQ8" i="2"/>
  <c r="AE9" i="2"/>
  <c r="AE10" i="2"/>
  <c r="AE11" i="2"/>
  <c r="AF13" i="2"/>
  <c r="AE14" i="2"/>
  <c r="AE15" i="2"/>
  <c r="AF16" i="2"/>
  <c r="AF17" i="2"/>
  <c r="AG18" i="2"/>
  <c r="AG20" i="2"/>
  <c r="AQ20" i="2"/>
  <c r="AF21" i="2"/>
  <c r="AF22" i="2"/>
  <c r="AF23" i="2"/>
  <c r="AF24" i="2"/>
  <c r="AE26" i="2"/>
  <c r="AI26" i="2"/>
  <c r="AF27" i="2"/>
  <c r="AI27" i="2"/>
  <c r="AF28" i="2"/>
  <c r="AF29" i="2"/>
  <c r="AF30" i="2"/>
  <c r="AF31" i="2"/>
  <c r="AF33" i="2"/>
  <c r="AF34" i="2"/>
  <c r="AF35" i="2"/>
  <c r="AF36" i="2"/>
  <c r="AG37" i="2"/>
  <c r="AG38" i="2"/>
  <c r="AG39" i="2"/>
  <c r="AF40" i="2"/>
  <c r="AG42" i="2"/>
  <c r="AH43" i="2"/>
  <c r="AG44" i="2"/>
  <c r="AH45" i="2"/>
  <c r="AH46" i="2"/>
  <c r="AH47" i="2"/>
  <c r="AI48" i="2"/>
  <c r="AE50" i="2"/>
  <c r="AI50" i="2"/>
  <c r="AF51" i="2"/>
  <c r="AF52" i="2"/>
  <c r="AF53" i="2"/>
  <c r="AF54" i="2"/>
  <c r="AF55" i="2"/>
  <c r="AF56" i="2"/>
  <c r="AF58" i="2"/>
  <c r="AF59" i="2"/>
  <c r="AF60" i="2"/>
  <c r="AF61" i="2"/>
  <c r="AG62" i="2"/>
  <c r="AF63" i="2"/>
  <c r="AG65" i="2"/>
  <c r="AH66" i="2"/>
  <c r="AG67" i="2"/>
  <c r="AH68" i="2"/>
  <c r="AH69" i="2"/>
  <c r="AI70" i="2"/>
  <c r="AG72" i="2"/>
  <c r="AQ72" i="2"/>
  <c r="AG73" i="2"/>
  <c r="AI74" i="2"/>
  <c r="AN75" i="2"/>
  <c r="AK77" i="2"/>
  <c r="AS77" i="2"/>
  <c r="AK78" i="2"/>
  <c r="AK79" i="2"/>
  <c r="AM80" i="2"/>
  <c r="AP82" i="2"/>
  <c r="AP83" i="2"/>
  <c r="AR84" i="2"/>
  <c r="AS86" i="2"/>
  <c r="G7" i="4" l="1"/>
  <c r="G8" i="4"/>
  <c r="G9" i="4"/>
  <c r="G10" i="4"/>
  <c r="G11" i="4"/>
  <c r="G12" i="4"/>
  <c r="E13" i="4"/>
  <c r="F13" i="4" s="1"/>
  <c r="F12" i="4"/>
  <c r="F11" i="4"/>
  <c r="F10" i="4"/>
  <c r="F9" i="4"/>
  <c r="F8" i="4"/>
  <c r="F7" i="4"/>
  <c r="H130" i="8"/>
  <c r="C49" i="5" l="1"/>
  <c r="C50" i="5"/>
  <c r="C20" i="5"/>
  <c r="C21" i="5"/>
  <c r="C22" i="5"/>
  <c r="C23" i="5"/>
  <c r="C24" i="5"/>
  <c r="C25" i="5"/>
  <c r="C26" i="5"/>
  <c r="C27" i="5"/>
  <c r="C28" i="5"/>
  <c r="C29" i="5"/>
  <c r="C30" i="5"/>
  <c r="C31" i="5"/>
  <c r="C32" i="5"/>
  <c r="C33" i="5"/>
  <c r="C34" i="5"/>
  <c r="C35" i="5"/>
  <c r="C36" i="5"/>
  <c r="C37" i="5"/>
  <c r="C38" i="5"/>
  <c r="C39" i="5"/>
  <c r="C40" i="5"/>
  <c r="C41" i="5"/>
  <c r="C42" i="5"/>
  <c r="C43" i="5"/>
  <c r="C44" i="5"/>
  <c r="C19" i="5"/>
  <c r="C18" i="5"/>
  <c r="C17" i="5"/>
  <c r="C45" i="5"/>
  <c r="C46" i="5"/>
  <c r="C47" i="5"/>
  <c r="C48" i="5"/>
  <c r="C16" i="5"/>
  <c r="C10" i="5"/>
  <c r="C11" i="5"/>
  <c r="C12" i="5"/>
  <c r="C13" i="5"/>
  <c r="C14" i="5"/>
  <c r="C15" i="5"/>
  <c r="D1" i="2"/>
  <c r="C5" i="5" l="1"/>
  <c r="C6" i="5"/>
  <c r="C7" i="5"/>
  <c r="C8" i="5"/>
  <c r="C9"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1" i="2"/>
  <c r="AB2" i="2"/>
</calcChain>
</file>

<file path=xl/sharedStrings.xml><?xml version="1.0" encoding="utf-8"?>
<sst xmlns="http://schemas.openxmlformats.org/spreadsheetml/2006/main" count="1727" uniqueCount="1204">
  <si>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</si>
  <si>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</si>
  <si>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</si>
  <si>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</si>
  <si>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</si>
  <si>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</si>
  <si>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</si>
  <si>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</si>
  <si>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</si>
  <si>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</si>
  <si>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</si>
  <si>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</si>
  <si>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</si>
  <si>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</si>
  <si>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</si>
  <si>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</si>
  <si>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</si>
  <si>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</si>
  <si>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</si>
  <si>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</si>
  <si>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</si>
  <si>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</si>
  <si>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</si>
  <si>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</si>
  <si>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</si>
  <si>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</si>
  <si>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</si>
  <si>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</si>
  <si>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</si>
  <si>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</si>
  <si>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</si>
  <si>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</si>
  <si>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</si>
  <si>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</si>
  <si>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</si>
  <si>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</si>
  <si>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</si>
  <si>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</si>
  <si>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</si>
  <si>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</si>
  <si>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</si>
  <si>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</si>
  <si>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</si>
  <si>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</si>
  <si>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</si>
  <si>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</si>
  <si>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</si>
  <si>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</si>
  <si>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</si>
  <si>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</si>
  <si>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</si>
  <si>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</si>
  <si>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</si>
  <si>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</si>
  <si>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</si>
  <si>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</si>
  <si>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</si>
  <si>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</si>
  <si>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</si>
  <si>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</si>
  <si>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</si>
  <si>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</si>
  <si>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</si>
  <si>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</si>
  <si>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</si>
  <si>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</si>
  <si>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</si>
  <si>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</si>
  <si>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</si>
  <si>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</si>
  <si>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</si>
  <si>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</si>
  <si>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</si>
  <si>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</si>
  <si>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</si>
  <si>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</si>
  <si>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</si>
  <si>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</si>
  <si>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</si>
  <si>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</si>
  <si>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</si>
  <si>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</si>
  <si>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</si>
  <si>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</si>
  <si>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</si>
  <si>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</si>
  <si>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</si>
  <si>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</si>
  <si>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</si>
  <si>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</si>
  <si>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</si>
  <si>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</si>
  <si>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</si>
  <si>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</si>
  <si>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</si>
  <si>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</si>
  <si>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</si>
  <si>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</si>
  <si>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</si>
  <si>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</si>
  <si>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</si>
  <si>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</si>
  <si>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</si>
  <si>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</si>
  <si>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</si>
  <si>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</si>
  <si>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</si>
  <si>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</si>
  <si>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</si>
  <si>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</si>
  <si>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</si>
  <si>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</si>
  <si>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</si>
  <si>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</si>
  <si>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</si>
  <si>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</si>
  <si>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</si>
  <si>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</si>
  <si>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</si>
  <si>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</si>
  <si>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</si>
  <si>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</si>
  <si>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</si>
  <si>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</si>
  <si>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</si>
  <si>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</si>
  <si>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</si>
  <si>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</si>
  <si>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</si>
  <si>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</si>
  <si>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</si>
  <si>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</si>
  <si>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</si>
  <si>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</si>
  <si>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</si>
  <si>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</si>
  <si>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</si>
  <si>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</si>
  <si>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</si>
  <si>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</si>
  <si>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</si>
  <si>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</si>
  <si>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</si>
  <si>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</si>
  <si>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</si>
  <si>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</si>
  <si>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</si>
  <si>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</si>
  <si>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</si>
  <si>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</si>
  <si>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</si>
  <si>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</si>
  <si>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</si>
  <si>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</si>
  <si>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</si>
  <si>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</si>
  <si>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</si>
  <si>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</si>
  <si>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</si>
  <si>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</si>
  <si>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</si>
  <si>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</si>
  <si>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</si>
  <si>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</si>
  <si>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</si>
  <si>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</si>
  <si>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</si>
  <si>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</si>
  <si>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</si>
  <si>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</si>
  <si>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</si>
  <si>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</si>
  <si>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</si>
  <si>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</si>
  <si>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</si>
  <si>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</si>
  <si>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</si>
  <si>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</si>
  <si>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</si>
  <si>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</si>
  <si>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</si>
  <si>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</si>
  <si>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</si>
  <si>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</si>
  <si>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</si>
  <si>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</si>
  <si>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</si>
  <si>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</si>
  <si>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</si>
  <si>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</si>
  <si>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</si>
  <si>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</si>
  <si>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</si>
  <si>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</si>
  <si>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</si>
  <si>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</si>
  <si>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</si>
  <si>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</si>
  <si>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</si>
  <si>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</si>
  <si>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</si>
  <si>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</si>
  <si>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</si>
  <si>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</si>
  <si>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</si>
  <si>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</si>
  <si>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</si>
  <si>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</si>
  <si>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</si>
  <si>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</si>
  <si>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</si>
  <si>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</si>
  <si>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</si>
  <si>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</si>
  <si>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</si>
  <si>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</si>
  <si>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</si>
  <si>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</si>
  <si>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</si>
  <si>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</si>
  <si>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</si>
  <si>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</si>
  <si>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</si>
  <si>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</si>
  <si>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</si>
  <si>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</si>
  <si>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</si>
  <si>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</si>
  <si>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</si>
  <si>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</si>
  <si>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</si>
  <si>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</si>
  <si>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</si>
  <si>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</si>
  <si>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</si>
  <si>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</si>
  <si>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</si>
  <si>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</si>
  <si>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</si>
  <si>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</si>
  <si>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</si>
  <si>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</si>
  <si>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</si>
  <si>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</si>
  <si>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</si>
  <si>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</si>
  <si>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</si>
  <si>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</si>
  <si>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</si>
  <si>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</si>
  <si>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</si>
  <si>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</si>
  <si>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</si>
  <si>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</si>
  <si>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</si>
  <si>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</si>
  <si>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</si>
  <si>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</si>
  <si>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</si>
  <si>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</si>
  <si>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</si>
  <si>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</si>
  <si>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</si>
  <si>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</si>
  <si>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</si>
  <si>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</si>
  <si>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</si>
  <si>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</si>
  <si>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</si>
  <si>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</si>
  <si>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</si>
  <si>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</si>
  <si>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</si>
  <si>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</si>
  <si>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</si>
  <si>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</si>
  <si>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</si>
  <si>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</si>
  <si>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</si>
  <si>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</si>
  <si>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</si>
  <si>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</si>
  <si>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</si>
  <si>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</si>
  <si>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</si>
  <si>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</si>
  <si>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</si>
  <si>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</si>
  <si>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</si>
  <si>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</si>
  <si>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</si>
  <si>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</si>
  <si>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</si>
  <si>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</si>
  <si>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</si>
  <si>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</si>
  <si>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</si>
  <si>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</si>
  <si>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</si>
  <si>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</si>
  <si>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</si>
  <si>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</si>
  <si>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</si>
  <si>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</si>
  <si>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</si>
  <si>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</si>
  <si>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</si>
  <si>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</si>
  <si>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</si>
  <si>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</si>
  <si>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</si>
  <si>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</si>
  <si>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</si>
  <si>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</si>
  <si>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</si>
  <si>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</si>
  <si>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</si>
  <si>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</si>
  <si>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</si>
  <si>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</si>
  <si>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</si>
  <si>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</si>
  <si>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</si>
  <si>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</si>
  <si>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</si>
  <si>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</si>
  <si>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</si>
  <si>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</si>
  <si>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</si>
  <si>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</si>
  <si>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</si>
  <si>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</si>
  <si>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</si>
  <si>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</si>
  <si>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</si>
  <si>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</si>
  <si>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</si>
  <si>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</si>
  <si>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</si>
  <si>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</si>
  <si>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</si>
  <si>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</si>
  <si>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</si>
  <si>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</si>
  <si>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</si>
  <si>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</si>
  <si>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</si>
  <si>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</si>
  <si>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</si>
  <si>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</si>
  <si>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</si>
  <si>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</si>
  <si>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</si>
  <si>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</si>
  <si>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</si>
  <si>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</si>
  <si>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</si>
  <si>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</si>
  <si>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</si>
  <si>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</si>
  <si>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</si>
  <si>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</si>
  <si>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</si>
  <si>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</si>
  <si>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</si>
  <si>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</si>
  <si>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</si>
  <si>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</si>
  <si>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</si>
  <si>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</si>
  <si>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</si>
  <si>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</si>
  <si>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</si>
  <si>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</si>
  <si>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</si>
  <si>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</si>
  <si>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</si>
  <si>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</si>
  <si>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</si>
  <si>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</si>
  <si>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</si>
  <si>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</si>
  <si>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</si>
  <si>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</si>
  <si>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</si>
  <si>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</si>
  <si>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</si>
  <si>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</si>
  <si>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</si>
  <si>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</si>
  <si>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</si>
  <si>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</si>
  <si>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</si>
  <si>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</si>
  <si>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</si>
  <si>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</si>
  <si>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</si>
  <si>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</si>
  <si>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</si>
  <si>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</si>
  <si>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</si>
  <si>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</si>
  <si>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</si>
  <si>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</si>
  <si>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</si>
  <si>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</si>
  <si>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</si>
  <si>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</si>
  <si>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</si>
  <si>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</si>
  <si>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</si>
  <si>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</si>
  <si>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</si>
  <si>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</si>
  <si>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</si>
  <si>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</si>
  <si>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</si>
  <si>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</si>
  <si>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</si>
  <si>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</si>
  <si>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</si>
  <si>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</si>
  <si>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</si>
  <si>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</si>
  <si>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</si>
  <si>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</si>
  <si>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</si>
  <si>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</si>
  <si>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</si>
  <si>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</si>
  <si>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</si>
  <si>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</si>
  <si>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</si>
  <si>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</si>
  <si>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</si>
  <si>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</si>
  <si>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</si>
  <si>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</si>
  <si>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</si>
  <si>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</si>
  <si>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</si>
  <si>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</si>
  <si>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</si>
  <si>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</si>
  <si>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</si>
  <si>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</si>
  <si>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</si>
  <si>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</si>
  <si>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</si>
  <si>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</si>
  <si>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</si>
  <si>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</si>
  <si>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</si>
  <si>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</si>
  <si>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</si>
  <si>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</si>
  <si>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</si>
  <si>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</si>
  <si>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</si>
  <si>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</si>
  <si>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</si>
  <si>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</si>
  <si>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</si>
  <si>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</si>
  <si>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</si>
  <si>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</si>
  <si>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</si>
  <si>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</si>
  <si>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</si>
  <si>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</si>
  <si>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</si>
  <si>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</si>
  <si>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</si>
  <si>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</si>
  <si>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</si>
  <si>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</si>
  <si>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</si>
  <si>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</si>
  <si>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</si>
  <si>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</si>
  <si>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</si>
  <si>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</si>
  <si>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</si>
  <si>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</si>
  <si>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</si>
  <si>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</si>
  <si>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</si>
  <si>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</si>
  <si>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</si>
  <si>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</si>
  <si>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</si>
  <si>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</si>
  <si>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</si>
  <si>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</si>
  <si>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</si>
  <si>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</si>
  <si>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</si>
  <si>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</si>
  <si>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</si>
  <si>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</si>
  <si>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</si>
  <si>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</si>
  <si>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</si>
  <si>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</si>
  <si>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</si>
  <si>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</si>
  <si>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</si>
  <si>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</si>
  <si>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</si>
  <si>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</si>
  <si>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</si>
  <si>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</si>
  <si>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</si>
  <si>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</si>
  <si>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</si>
  <si>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</si>
  <si>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</si>
  <si>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</si>
  <si>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</si>
  <si>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</si>
  <si>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</si>
  <si>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</si>
  <si>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</si>
  <si>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</si>
  <si>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</si>
  <si>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</si>
  <si>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</si>
  <si>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</si>
  <si>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</si>
  <si>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</si>
  <si>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</si>
  <si>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</si>
  <si>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</si>
  <si>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</si>
  <si>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</si>
  <si>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</si>
  <si>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</si>
  <si>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</si>
  <si>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</si>
  <si>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</si>
  <si>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</si>
  <si>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</si>
  <si>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</si>
  <si>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</si>
  <si>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</si>
  <si>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</si>
  <si>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</si>
  <si>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</si>
  <si>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</si>
  <si>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</si>
  <si>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</si>
  <si>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</si>
  <si>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</si>
  <si>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</si>
  <si>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</si>
  <si>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</si>
  <si>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</si>
  <si>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</si>
  <si>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</si>
  <si>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</si>
  <si>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</si>
  <si>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</si>
  <si>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</si>
  <si>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</si>
  <si>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</si>
  <si>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</si>
  <si>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</si>
  <si>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</si>
  <si>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</si>
  <si>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</si>
  <si>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</si>
  <si>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</si>
  <si>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</si>
  <si>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</si>
  <si>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</si>
  <si>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</si>
  <si>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</si>
  <si>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</si>
  <si>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</si>
  <si>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</si>
  <si>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</si>
  <si>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</si>
  <si>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</si>
  <si>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</si>
  <si>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</si>
  <si>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</si>
  <si>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</si>
  <si>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</si>
  <si>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</si>
  <si>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</si>
  <si>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</si>
  <si>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</si>
  <si>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</si>
  <si>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</si>
  <si>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</si>
  <si>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</si>
  <si>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</si>
  <si>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</si>
  <si>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</si>
  <si>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</si>
  <si>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</si>
  <si>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</si>
  <si>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</si>
  <si>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</si>
  <si>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</si>
  <si>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</si>
  <si>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</si>
  <si>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</si>
  <si>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</si>
  <si>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</si>
  <si>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</si>
  <si>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</si>
  <si>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</si>
  <si>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</si>
  <si>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</si>
  <si>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</si>
  <si>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</si>
  <si>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</si>
  <si>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</si>
  <si>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</si>
  <si>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</si>
  <si>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</si>
  <si>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</si>
  <si>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</si>
  <si>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</si>
  <si>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</si>
  <si>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</si>
  <si>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</si>
  <si>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</si>
  <si>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</si>
  <si>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</si>
  <si>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</si>
  <si>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</si>
  <si>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</si>
  <si>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</si>
  <si>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</si>
  <si>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</si>
  <si>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</si>
  <si>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</si>
  <si>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</si>
  <si>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</si>
  <si>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</si>
  <si>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</si>
  <si>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</si>
  <si>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</si>
  <si>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</si>
  <si>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</si>
  <si>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</si>
  <si>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</si>
  <si>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</si>
  <si>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</si>
  <si>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</si>
  <si>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</si>
  <si>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</si>
  <si>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</si>
  <si>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</si>
  <si>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</si>
  <si>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</si>
  <si>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</si>
  <si>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</si>
  <si>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</si>
  <si>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</si>
  <si>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</si>
  <si>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</si>
  <si>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</si>
  <si>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</si>
  <si>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</si>
  <si>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</si>
  <si>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</si>
  <si>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</si>
  <si>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</si>
  <si>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</si>
  <si>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</si>
  <si>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</si>
  <si>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</si>
  <si>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</si>
  <si>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</si>
  <si>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</si>
  <si>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</si>
  <si>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</si>
  <si>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</si>
  <si>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</si>
  <si>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</si>
  <si>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</si>
  <si>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</si>
  <si>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</si>
  <si>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</si>
  <si>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</si>
  <si>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</si>
  <si>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</si>
  <si>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</si>
  <si>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</si>
  <si>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</si>
  <si>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</si>
  <si>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</si>
  <si>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</si>
  <si>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</si>
  <si>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</si>
  <si>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</si>
  <si>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</si>
  <si>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</si>
  <si>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</si>
  <si>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</si>
  <si>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</si>
  <si>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</si>
  <si>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</si>
  <si>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</si>
  <si>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</si>
  <si>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</si>
  <si>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</si>
  <si>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</si>
  <si>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</si>
  <si>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</si>
  <si>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</si>
  <si>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</si>
  <si>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</si>
  <si>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</si>
  <si>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</si>
  <si>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</si>
  <si>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</si>
  <si>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</si>
  <si>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</si>
  <si>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</si>
  <si>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</si>
  <si>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</si>
  <si>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</si>
  <si>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</si>
  <si>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</si>
  <si>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</si>
  <si>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</si>
  <si>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</si>
  <si>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</si>
  <si>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</si>
  <si>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</si>
  <si>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</si>
  <si>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</si>
  <si>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</si>
  <si>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</si>
  <si>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</si>
  <si>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</si>
  <si>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</si>
  <si>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</si>
  <si>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</si>
  <si>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</si>
  <si>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</si>
  <si>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</si>
  <si>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</si>
  <si>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</si>
  <si>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</si>
  <si>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</si>
  <si>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</si>
  <si>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</si>
  <si>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</si>
  <si>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</si>
  <si>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</si>
  <si>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</si>
  <si>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</si>
  <si>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</si>
  <si>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</si>
  <si>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</si>
  <si>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</si>
  <si>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</si>
  <si>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</si>
  <si>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</si>
  <si>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</si>
  <si>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</si>
  <si>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</si>
  <si>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</si>
  <si>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</si>
  <si>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</si>
  <si>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</si>
  <si>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</si>
  <si>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</si>
  <si>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</si>
  <si>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</si>
  <si>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</si>
  <si>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</si>
  <si>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</si>
  <si>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</si>
  <si>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</si>
  <si>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</si>
  <si>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</si>
  <si>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</si>
  <si>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</si>
  <si>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</si>
  <si>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</si>
  <si>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</si>
  <si>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</si>
  <si>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</si>
  <si>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</si>
  <si>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</si>
  <si>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</si>
  <si>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</si>
  <si>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</si>
  <si>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</si>
  <si>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</si>
  <si>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</si>
  <si>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</si>
  <si>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</si>
  <si>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</si>
  <si>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</si>
  <si>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</si>
  <si>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</si>
  <si>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</si>
  <si>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</si>
  <si>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</si>
  <si>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</si>
  <si>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</si>
  <si>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</si>
  <si>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</si>
  <si>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</si>
  <si>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</si>
  <si>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</si>
  <si>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</si>
  <si>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</si>
  <si>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</si>
  <si>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</si>
  <si>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</si>
  <si>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</si>
  <si>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</si>
  <si>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</si>
  <si>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</si>
  <si>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</si>
  <si>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</si>
  <si>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</si>
  <si>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</si>
  <si>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</si>
  <si>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</si>
  <si>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</si>
  <si>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</si>
  <si>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</si>
  <si>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</si>
  <si>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</si>
  <si>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</si>
  <si>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</si>
  <si>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</si>
  <si>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</si>
  <si>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</si>
  <si>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</si>
  <si>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</si>
  <si>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</si>
  <si>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</si>
  <si>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</si>
  <si>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</si>
  <si>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</si>
  <si>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</si>
  <si>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</si>
  <si>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</si>
  <si>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</si>
  <si>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</si>
  <si>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</si>
  <si>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</si>
  <si>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</si>
  <si>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</si>
  <si>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</si>
  <si>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</si>
  <si>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</si>
  <si>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</si>
  <si>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</si>
  <si>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</si>
  <si>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</si>
  <si>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</si>
  <si>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</si>
  <si>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</si>
  <si>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</si>
  <si>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</si>
  <si>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</si>
  <si>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</si>
  <si>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</si>
  <si>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</si>
  <si>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</si>
  <si>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</si>
  <si>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</si>
  <si>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</si>
  <si>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</si>
  <si>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</si>
  <si>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</si>
  <si>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</si>
  <si>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</si>
  <si>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</si>
  <si>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</si>
  <si>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</si>
  <si>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</si>
  <si>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</si>
  <si>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</si>
  <si>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</si>
  <si>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</si>
  <si>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</si>
  <si>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</si>
  <si>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</si>
  <si>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</si>
  <si>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</si>
  <si>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</si>
  <si>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</si>
  <si>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</si>
  <si>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</si>
  <si>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</si>
  <si>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</si>
  <si>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</si>
  <si>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</si>
  <si>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</si>
  <si>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</si>
  <si>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</si>
  <si>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</si>
  <si>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</si>
  <si>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</si>
  <si>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</si>
  <si>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</si>
  <si>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</si>
  <si>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</si>
  <si>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</si>
  <si>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</si>
  <si>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</si>
  <si>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</si>
  <si>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</si>
  <si>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</si>
  <si>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</si>
  <si>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</si>
  <si>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</si>
  <si>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</si>
  <si>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</si>
  <si>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</si>
  <si>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</si>
  <si>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</si>
  <si>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</si>
  <si>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</si>
  <si>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</si>
  <si>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</si>
  <si>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</si>
  <si>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</si>
  <si>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</si>
  <si>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</si>
  <si>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</si>
  <si>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</si>
  <si>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</si>
  <si>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</si>
  <si>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</si>
  <si>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</si>
  <si>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</si>
  <si>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</si>
  <si>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</si>
  <si>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</si>
  <si>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</si>
  <si>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</si>
  <si>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</si>
  <si>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</si>
  <si>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</si>
  <si>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</si>
  <si>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</si>
  <si>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</si>
  <si>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</si>
  <si>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</si>
  <si>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</si>
  <si>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</si>
  <si>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</si>
  <si>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t>2.1.1</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</si>
  <si>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</si>
  <si>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</si>
  <si>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</si>
  <si>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</si>
  <si>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</si>
  <si>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설계</t>
  </si>
  <si>
    <t>개발</t>
  </si>
  <si>
    <t>2.3.1.1</t>
  </si>
  <si>
    <t>2.3.2.1</t>
  </si>
  <si>
    <t>2.3.2.2</t>
  </si>
  <si>
    <t>C:\Temp</t>
    <phoneticPr fontId="8" type="noConversion"/>
  </si>
  <si>
    <t>G</t>
  </si>
  <si>
    <t>1</t>
  </si>
  <si>
    <t>1.1</t>
  </si>
  <si>
    <t>2</t>
  </si>
  <si>
    <t>2.1</t>
  </si>
  <si>
    <t>2.1.2</t>
  </si>
  <si>
    <t>2.2</t>
  </si>
  <si>
    <t>2.2.2</t>
  </si>
  <si>
    <t>2.3</t>
  </si>
  <si>
    <t>2.3.1</t>
  </si>
  <si>
    <t>2.3.1.2</t>
  </si>
  <si>
    <t>2.3.2</t>
  </si>
  <si>
    <t>메모장</t>
    <phoneticPr fontId="8" type="noConversion"/>
  </si>
  <si>
    <t>Display font color to the gray for the completed tasks</t>
    <phoneticPr fontId="2" type="noConversion"/>
  </si>
  <si>
    <t>ace</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</si>
  <si>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</si>
  <si>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</si>
  <si>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</si>
  <si>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</si>
  <si>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</si>
  <si>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</si>
  <si>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</si>
  <si>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</si>
  <si>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</si>
  <si>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</si>
  <si>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</si>
  <si>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</si>
  <si>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</si>
  <si>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</si>
  <si>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</si>
  <si>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</si>
  <si>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</si>
  <si>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</si>
  <si>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</si>
  <si>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</si>
  <si>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</si>
  <si>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</si>
  <si>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</si>
  <si>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</si>
  <si>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</si>
  <si>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</si>
  <si>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</si>
  <si>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자동지정</t>
    <phoneticPr fontId="8" type="noConversion"/>
  </si>
  <si>
    <t>아크로에디터</t>
    <phoneticPr fontId="8" type="noConversion"/>
  </si>
  <si>
    <t>C:\WINDOWS\system32\notepad.exe</t>
    <phoneticPr fontId="8" type="noConversion"/>
  </si>
  <si>
    <t>워드</t>
    <phoneticPr fontId="8" type="noConversion"/>
  </si>
  <si>
    <t>cad</t>
    <phoneticPr fontId="8" type="noConversion"/>
  </si>
  <si>
    <t>Calendar</t>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</si>
  <si>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</si>
  <si>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</si>
  <si>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</si>
  <si>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</si>
  <si>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</si>
  <si>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</si>
  <si>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</si>
  <si>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</si>
  <si>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</si>
  <si>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</si>
  <si>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</si>
  <si>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</si>
  <si>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5</t>
    </r>
    <r>
      <rPr>
        <sz val="11"/>
        <color theme="1"/>
        <rFont val="맑은 고딕"/>
        <family val="2"/>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</si>
  <si>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어린이날</t>
    </r>
    <r>
      <rPr>
        <sz val="11"/>
        <rFont val="Cali"/>
        <family val="2"/>
      </rPr>
      <t xml:space="preserve"> </t>
    </r>
    <r>
      <rPr>
        <sz val="11"/>
        <rFont val="맑은 고딕"/>
        <family val="3"/>
        <charset val="129"/>
      </rPr>
      <t>대체</t>
    </r>
    <r>
      <rPr>
        <sz val="11"/>
        <rFont val="Cali"/>
        <family val="2"/>
      </rPr>
      <t xml:space="preserve"> </t>
    </r>
    <r>
      <rPr>
        <sz val="11"/>
        <rFont val="맑은 고딕"/>
        <family val="3"/>
        <charset val="129"/>
      </rPr>
      <t>공휴일</t>
    </r>
    <phoneticPr fontId="8" type="noConversion"/>
  </si>
  <si>
    <r>
      <t>2019</t>
    </r>
    <r>
      <rPr>
        <sz val="11"/>
        <color theme="1"/>
        <rFont val="맑은 고딕"/>
        <family val="2"/>
      </rPr>
      <t>년</t>
    </r>
    <r>
      <rPr>
        <sz val="11"/>
        <rFont val="Cali"/>
        <family val="2"/>
      </rPr>
      <t xml:space="preserve"> 5</t>
    </r>
    <r>
      <rPr>
        <sz val="11"/>
        <rFont val="Calibri"/>
        <family val="2"/>
      </rPr>
      <t>월주말</t>
    </r>
    <r>
      <rPr>
        <sz val="11"/>
        <color theme="1"/>
        <rFont val="맑은 고딕"/>
        <family val="2"/>
        <scheme val="minor"/>
      </rPr>
      <t/>
    </r>
  </si>
  <si>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</si>
  <si>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</si>
  <si>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t>
    </r>
    <r>
      <rPr>
        <sz val="11"/>
        <color theme="1"/>
        <rFont val="맑은 고딕"/>
        <family val="2"/>
      </rPr>
      <t>현충일</t>
    </r>
    <phoneticPr fontId="8" type="noConversion"/>
  </si>
  <si>
    <r>
      <t>2019</t>
    </r>
    <r>
      <rPr>
        <sz val="11"/>
        <color theme="1"/>
        <rFont val="맑은 고딕"/>
        <family val="2"/>
      </rPr>
      <t>년</t>
    </r>
    <r>
      <rPr>
        <sz val="11"/>
        <rFont val="Cali"/>
        <family val="2"/>
      </rPr>
      <t xml:space="preserve"> 6</t>
    </r>
    <r>
      <rPr>
        <sz val="11"/>
        <rFont val="Calibri"/>
        <family val="2"/>
      </rPr>
      <t>월주말</t>
    </r>
    <r>
      <rPr>
        <sz val="11"/>
        <color theme="1"/>
        <rFont val="맑은 고딕"/>
        <family val="2"/>
        <scheme val="minor"/>
      </rPr>
      <t/>
    </r>
  </si>
  <si>
    <r>
      <t>2019</t>
    </r>
    <r>
      <rPr>
        <sz val="11"/>
        <rFont val="돋움"/>
        <family val="3"/>
        <charset val="129"/>
      </rPr>
      <t>년</t>
    </r>
    <r>
      <rPr>
        <sz val="11"/>
        <rFont val="Cali"/>
        <family val="2"/>
      </rPr>
      <t xml:space="preserve"> 6</t>
    </r>
    <r>
      <rPr>
        <sz val="11"/>
        <rFont val="돋움"/>
        <family val="3"/>
        <charset val="129"/>
      </rPr>
      <t>월주말</t>
    </r>
    <phoneticPr fontId="2" type="noConversion"/>
  </si>
  <si>
    <t>프로젝트 기획</t>
  </si>
  <si>
    <t>화면 설계</t>
  </si>
  <si>
    <t>개발 환경 구축</t>
  </si>
  <si>
    <t>백 엔드</t>
  </si>
  <si>
    <t>엑셀</t>
    <phoneticPr fontId="8" type="noConversion"/>
  </si>
  <si>
    <t>c:\cad\cad\cad.exe</t>
    <phoneticPr fontId="8" type="noConversion"/>
  </si>
  <si>
    <t>txt</t>
    <phoneticPr fontId="8" type="noConversion"/>
  </si>
  <si>
    <t>E</t>
    <phoneticPr fontId="2" type="noConversion"/>
  </si>
  <si>
    <t>요구사항 정의</t>
  </si>
  <si>
    <t>시나리오 작성</t>
  </si>
  <si>
    <t>ERD설계</t>
  </si>
  <si>
    <t>화면정의서 작성</t>
  </si>
  <si>
    <t>프론트 엔드</t>
  </si>
  <si>
    <t>백 엔드-파이썬</t>
  </si>
  <si>
    <t>기능 구현</t>
  </si>
  <si>
    <t>산출물 작성 및 제출</t>
  </si>
  <si>
    <t>자막 싱크 교정</t>
  </si>
  <si>
    <t>프레젠테이션</t>
  </si>
  <si>
    <t>담당</t>
  </si>
  <si>
    <t>PPT 작성</t>
  </si>
  <si>
    <t>스크립트 작성 및 발표 준비</t>
  </si>
  <si>
    <t>최종 발표</t>
  </si>
  <si>
    <t>3</t>
  </si>
  <si>
    <t>3.1</t>
  </si>
  <si>
    <t>3.1.1</t>
  </si>
  <si>
    <t>3.1.2</t>
  </si>
  <si>
    <t>3.2</t>
  </si>
  <si>
    <t>3.2.1</t>
  </si>
  <si>
    <t>3.2.2</t>
  </si>
  <si>
    <t>프로토 타입 발표</t>
  </si>
  <si>
    <t>아이디어 기획 및 조사</t>
  </si>
  <si>
    <t>백엔드</t>
  </si>
  <si>
    <t>DB구현</t>
  </si>
  <si>
    <t>API서버 구현</t>
  </si>
  <si>
    <t>테스트 및 안정화</t>
  </si>
  <si>
    <t>프로토 타입 테스트 및 안정화</t>
  </si>
  <si>
    <t>피드백 반영 및 안정화</t>
  </si>
  <si>
    <t>2.2.4</t>
  </si>
  <si>
    <t>2.3.1.3</t>
  </si>
  <si>
    <t>2.3.2.1.1</t>
  </si>
  <si>
    <t>2.3.2.1.2</t>
  </si>
  <si>
    <t>2.3.2.1.3</t>
  </si>
  <si>
    <t>2.3.2.2.1</t>
  </si>
  <si>
    <t>2.3.2.2.2</t>
  </si>
  <si>
    <t>2.3.2.2.3</t>
  </si>
  <si>
    <t>2.3.3</t>
  </si>
  <si>
    <t>2.3.3.1</t>
  </si>
  <si>
    <t>2.3.3.2</t>
  </si>
  <si>
    <t>실제_x000D_
시작일</t>
    <phoneticPr fontId="8" type="noConversion"/>
  </si>
  <si>
    <t>산출물</t>
    <phoneticPr fontId="8" type="noConversion"/>
  </si>
  <si>
    <t>프로젝트 결과 정리</t>
  </si>
  <si>
    <t>3.3</t>
  </si>
  <si>
    <t>이수재</t>
  </si>
  <si>
    <t>김소민, 김승연</t>
  </si>
  <si>
    <t>서버 설계</t>
  </si>
  <si>
    <t>최찬민, 조혜경</t>
  </si>
  <si>
    <t>김소민, 김승연, 최찬민, 조혜경</t>
  </si>
  <si>
    <t>2.2.5</t>
  </si>
  <si>
    <t>김소민</t>
  </si>
  <si>
    <t>김승연</t>
  </si>
  <si>
    <t>김승연, 이수재</t>
  </si>
  <si>
    <t>김소민, 이수재</t>
  </si>
  <si>
    <t>마이페이지</t>
  </si>
  <si>
    <t>기본 기능</t>
  </si>
  <si>
    <t>영상 관련 기능</t>
  </si>
  <si>
    <t>영상 편집 툴</t>
  </si>
  <si>
    <t>자막 상호작용 기능</t>
  </si>
  <si>
    <t>북마크 기능</t>
  </si>
  <si>
    <t>참여형 서비스 기능</t>
  </si>
  <si>
    <t>어학 관련 기능</t>
  </si>
  <si>
    <t>대사집 및 문법집</t>
  </si>
  <si>
    <t>공동 문법 기능</t>
  </si>
  <si>
    <t>성취도 및 성적</t>
  </si>
  <si>
    <t>히스토리 및 구독</t>
  </si>
  <si>
    <t>2.3.2.1.1.1</t>
  </si>
  <si>
    <t>2.3.2.1.1.2</t>
  </si>
  <si>
    <t>2.3.2.1.2.1</t>
  </si>
  <si>
    <t>2.3.2.1.2.2</t>
  </si>
  <si>
    <t>2.3.2.1.2.3</t>
  </si>
  <si>
    <t>2.3.2.1.2.4</t>
  </si>
  <si>
    <t>2.3.2.1.2.5</t>
  </si>
  <si>
    <t>2.3.2.1.3.1</t>
  </si>
  <si>
    <t>2.3.2.1.3.2</t>
  </si>
  <si>
    <t>2.3.2.1.3.3</t>
  </si>
  <si>
    <t>2.3.2.1.3.4</t>
  </si>
  <si>
    <t>2.3.2.1.3.5</t>
  </si>
  <si>
    <t>2.3.2.1.3.6</t>
  </si>
  <si>
    <t>기본기능</t>
  </si>
  <si>
    <t>단어장 관리</t>
  </si>
  <si>
    <t>어휘 시험</t>
  </si>
  <si>
    <t>영상 목록 및 검색</t>
  </si>
  <si>
    <t>영상 편집 문법 검색 서비스 추가</t>
  </si>
  <si>
    <t>회원가입 및 로그인</t>
  </si>
  <si>
    <t>업로드 및 스트리밍</t>
  </si>
  <si>
    <t>영상 편집 기능</t>
  </si>
  <si>
    <t>참여형 서비스</t>
  </si>
  <si>
    <t>북마크 - 부가 서비스 연동</t>
  </si>
  <si>
    <t>2.3.2.1.1.3</t>
  </si>
  <si>
    <t>2.3.2.1.2.6</t>
  </si>
  <si>
    <t>2.3.2.1.2.7</t>
  </si>
  <si>
    <t>2.3.2.2.1.1</t>
  </si>
  <si>
    <t>2.3.2.2.1.2</t>
  </si>
  <si>
    <t>2.3.2.2.1.3</t>
  </si>
  <si>
    <t>2.3.2.2.1.4</t>
  </si>
  <si>
    <t>2.3.2.2.1.5</t>
  </si>
  <si>
    <t>2.3.2.2.2.1</t>
  </si>
  <si>
    <t>2.3.2.2.2.2</t>
  </si>
  <si>
    <t>2.3.2.2.2.3</t>
  </si>
  <si>
    <t>2.3.2.2.2.4</t>
  </si>
  <si>
    <t>2.3.2.2.2.5</t>
  </si>
  <si>
    <t>2.3.2.2.3.1</t>
  </si>
  <si>
    <t>2.3.2.2.3.2</t>
  </si>
  <si>
    <t>2.3.2.2.3.3</t>
  </si>
  <si>
    <t>2.3.2.2.3.4</t>
  </si>
  <si>
    <t>중간테스트 및 보완</t>
  </si>
  <si>
    <t>히스토리 및 구독 서비스</t>
  </si>
  <si>
    <t>음성 분석 및 대조</t>
  </si>
  <si>
    <t>2.3.3.3</t>
  </si>
  <si>
    <t>조원 전체</t>
  </si>
  <si>
    <t>이수재, 조혜경</t>
  </si>
  <si>
    <t>조혜경</t>
  </si>
  <si>
    <t>최찬민</t>
  </si>
  <si>
    <t>최찬민, 이수재</t>
  </si>
  <si>
    <t>김승연, 김소민</t>
  </si>
  <si>
    <t>2.3.2.2.3.5</t>
  </si>
  <si>
    <t>일 (월평균 근무일수)</t>
  </si>
  <si>
    <t>차트</t>
  </si>
  <si>
    <t>Workload(담당별)</t>
  </si>
  <si>
    <t>* 담당별 Workload를 보여줍니다.</t>
  </si>
  <si>
    <t>* "Workload(담당별)" 메뉴를 클릭해야 내용이 갱신됩니다.</t>
  </si>
  <si>
    <t>Workload_x000D_
(Man-Day)</t>
  </si>
  <si>
    <t>Workload_x000D_
(Man-Month)</t>
  </si>
  <si>
    <t>조혜경, 최찬민</t>
  </si>
  <si>
    <t>Go語 프로젝트</t>
    <phoneticPr fontId="2" type="noConversion"/>
  </si>
  <si>
    <t>TODAY</t>
    <phoneticPr fontId="2" type="noConversion"/>
  </si>
  <si>
    <t>DEFINED</t>
    <phoneticPr fontId="8" type="noConversion"/>
  </si>
  <si>
    <t>파워포인트</t>
    <phoneticPr fontId="8" type="noConversion"/>
  </si>
  <si>
    <t>ppt*</t>
    <phoneticPr fontId="8" type="noConversion"/>
  </si>
  <si>
    <t>doc*</t>
    <phoneticPr fontId="8" type="noConversion"/>
  </si>
  <si>
    <t>xls*</t>
    <phoneticPr fontId="8" type="noConversion"/>
  </si>
  <si>
    <t>자동지정</t>
    <phoneticPr fontId="8" type="noConversion"/>
  </si>
  <si>
    <t>Auto CAD</t>
    <phoneticPr fontId="8" type="noConversion"/>
  </si>
  <si>
    <t>c:\ace\aaa.exe</t>
    <phoneticPr fontId="8" type="noConversion"/>
  </si>
  <si>
    <t>김승연, 최찬민</t>
  </si>
  <si>
    <t>담당</t>
    <phoneticPr fontId="8" type="noConversion"/>
  </si>
  <si>
    <t>{"TASK_FIRST_COL":"5","START_ROW":"5","WBS_AREA_LAST_COL":"28"}</t>
    <phoneticPr fontId="8" type="noConversion"/>
  </si>
  <si>
    <t>실제_x000D_
총기간</t>
    <phoneticPr fontId="8" type="noConversion"/>
  </si>
  <si>
    <t>실적*</t>
    <phoneticPr fontId="8" type="noConversion"/>
  </si>
  <si>
    <t>프로젝트 진행율 - 일정변경 관리하지 않을때</t>
    <phoneticPr fontId="8" type="noConversion"/>
  </si>
  <si>
    <t>일정변경관리 하지 않을 때 현재까지 실제로 진행된 작업기간을 표시함(총기간 x 총실적진행율)</t>
    <phoneticPr fontId="8" type="noConversion"/>
  </si>
  <si>
    <t>완료일*</t>
    <phoneticPr fontId="8" type="noConversion"/>
  </si>
  <si>
    <t>계획_x000D_
기간</t>
    <phoneticPr fontId="8" type="noConversion"/>
  </si>
  <si>
    <t>SCHEDULE_SHEET_POSITION:3545121314151617181920212223242526272829</t>
    <phoneticPr fontId="2" type="noConversion"/>
  </si>
  <si>
    <t>WBS</t>
    <phoneticPr fontId="8" type="noConversion"/>
  </si>
  <si>
    <t>시작일*</t>
    <phoneticPr fontId="8" type="noConversion"/>
  </si>
  <si>
    <t>총_x000D_
작업량</t>
    <phoneticPr fontId="8" type="noConversion"/>
  </si>
  <si>
    <t>총_x000D_
기간</t>
    <phoneticPr fontId="8" type="noConversion"/>
  </si>
  <si>
    <t>실제_x000D_
완료일</t>
    <phoneticPr fontId="8" type="noConversion"/>
  </si>
  <si>
    <t>실제_x000D_
총작업량</t>
    <phoneticPr fontId="8" type="noConversion"/>
  </si>
  <si>
    <t>계획</t>
    <phoneticPr fontId="8" type="noConversion"/>
  </si>
  <si>
    <t>wbs_level</t>
    <phoneticPr fontId="8" type="noConversion"/>
  </si>
  <si>
    <t>작업*</t>
    <phoneticPr fontId="8" type="noConversion"/>
  </si>
  <si>
    <t>비고</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</si>
  <si>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</si>
  <si>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</si>
  <si>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reserved</t>
    <phoneticPr fontId="8" type="noConversion"/>
  </si>
  <si>
    <t>task_group</t>
    <phoneticPr fontId="8" type="noConversion"/>
  </si>
  <si>
    <t>계획_x000D_
작업량</t>
    <phoneticPr fontId="8" type="noConversion"/>
  </si>
  <si>
    <t>가중치</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</si>
</sst>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sz val="11"/>
      <name val="Cali"/>
    </font>
    <font>
      <sz val="11"/>
      <color theme="1"/>
      <name val="맑은 고딕"/>
      <family val="3"/>
      <charset val="129"/>
    </font>
    <font>
      <sz val="11"/>
      <name val="Cali"/>
      <family val="2"/>
    </font>
    <font>
      <sz val="11"/>
      <color theme="1"/>
      <name val="맑은 고딕"/>
      <family val="2"/>
    </font>
    <font>
      <sz val="11"/>
      <name val="Arial Narrow"/>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3">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0" fontId="16" fillId="0" borderId="0" xfId="4" applyFont="1" applyBorder="1"/>
    <xf numFmtId="0" fontId="44" fillId="0" borderId="7" xfId="4" applyFont="1" applyFill="1" applyBorder="1" applyAlignment="1" applyProtection="1">
      <alignment horizontal="left" vertical="top"/>
      <protection locked="0"/>
    </xf>
    <xf numFmtId="14" fontId="46" fillId="8" borderId="19" xfId="0" applyNumberFormat="1" applyFont="1" applyFill="1" applyBorder="1" applyProtection="1">
      <protection locked="0"/>
    </xf>
    <xf numFmtId="14" fontId="48" fillId="8" borderId="19" xfId="0" applyNumberFormat="1" applyFont="1" applyFill="1" applyBorder="1" applyProtection="1">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5" fillId="0" borderId="7" xfId="4" applyNumberFormat="1" applyFont="1" applyFill="1" applyBorder="1" applyAlignment="1" applyProtection="1">
      <alignment horizontal="left" vertical="top"/>
      <protection locked="0"/>
    </xf>
    <xf numFmtId="0" fontId="16" fillId="0" borderId="12" xfId="4" applyFont="1" applyBorder="1"/>
    <xf numFmtId="14" fontId="16" fillId="0" borderId="15" xfId="4" applyNumberFormat="1" applyFont="1" applyBorder="1"/>
    <xf numFmtId="0" fontId="16" fillId="0" borderId="15" xfId="4" applyFont="1" applyBorder="1"/>
    <xf numFmtId="0" fontId="50" fillId="0" borderId="15" xfId="4" applyFont="1" applyBorder="1"/>
    <xf numFmtId="14" fontId="16" fillId="0" borderId="26" xfId="4" applyNumberFormat="1" applyFont="1" applyBorder="1"/>
    <xf numFmtId="0" fontId="16" fillId="0" borderId="26" xfId="4" applyFont="1" applyBorder="1"/>
    <xf numFmtId="0" fontId="50" fillId="0" borderId="26" xfId="4" applyFont="1" applyBorder="1"/>
    <xf numFmtId="2" fontId="16" fillId="0" borderId="0" xfId="4" applyNumberFormat="1" applyFont="1" applyBorder="1" applyAlignment="1">
      <alignment horizontal="right"/>
    </xf>
    <xf numFmtId="14" fontId="16" fillId="0" borderId="15" xfId="4" applyNumberFormat="1" applyFont="1" applyBorder="1" applyAlignment="1">
      <alignment horizontal="left"/>
    </xf>
    <xf numFmtId="2" fontId="16" fillId="0" borderId="15" xfId="4" applyNumberFormat="1" applyFont="1" applyBorder="1" applyAlignment="1">
      <alignment horizontal="right"/>
    </xf>
    <xf numFmtId="14" fontId="16" fillId="0" borderId="26" xfId="4" applyNumberFormat="1" applyFont="1" applyBorder="1" applyAlignment="1">
      <alignment horizontal="left"/>
    </xf>
    <xf numFmtId="2" fontId="16" fillId="0" borderId="26" xfId="4" applyNumberFormat="1" applyFont="1" applyBorder="1" applyAlignment="1">
      <alignment horizontal="right"/>
    </xf>
    <xf numFmtId="0" fontId="12" fillId="12" borderId="7" xfId="4" quotePrefix="1" applyFont="1" applyFill="1" applyBorder="1" applyAlignment="1" applyProtection="1">
      <alignment horizontal="right" vertical="top"/>
      <protection locked="0"/>
    </xf>
    <xf numFmtId="0" fontId="12" fillId="12" borderId="7" xfId="4" applyFont="1" applyFill="1" applyBorder="1" applyAlignment="1" applyProtection="1">
      <alignment horizontal="left" vertical="top"/>
      <protection locked="0"/>
    </xf>
    <xf numFmtId="14"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left" vertical="top"/>
      <protection locked="0"/>
    </xf>
    <xf numFmtId="176"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center" vertical="top"/>
      <protection locked="0"/>
    </xf>
    <xf numFmtId="177" fontId="12" fillId="12" borderId="7" xfId="4" applyNumberFormat="1" applyFont="1" applyFill="1" applyBorder="1" applyAlignment="1" applyProtection="1">
      <alignment horizontal="center" vertical="top"/>
      <protection locked="0"/>
    </xf>
    <xf numFmtId="1" fontId="12" fillId="12" borderId="7" xfId="4" applyNumberFormat="1" applyFont="1" applyFill="1" applyBorder="1" applyAlignment="1" applyProtection="1">
      <alignment horizontal="center" vertical="top"/>
      <protection locked="0"/>
    </xf>
    <xf numFmtId="179" fontId="12" fillId="12" borderId="7" xfId="4" applyNumberFormat="1" applyFont="1" applyFill="1" applyBorder="1" applyAlignment="1" applyProtection="1">
      <alignment horizontal="center" vertical="top"/>
      <protection locked="0"/>
    </xf>
    <xf numFmtId="14" fontId="12" fillId="12" borderId="7" xfId="4" applyNumberFormat="1" applyFont="1" applyFill="1" applyBorder="1" applyAlignment="1" applyProtection="1">
      <alignment horizontal="left" vertical="top"/>
      <protection locked="0"/>
    </xf>
    <xf numFmtId="10" fontId="12" fillId="12" borderId="7" xfId="6" applyNumberFormat="1" applyFont="1" applyFill="1" applyBorder="1" applyAlignment="1" applyProtection="1">
      <alignment horizontal="right" vertical="top" wrapText="1"/>
      <protection locked="0"/>
    </xf>
    <xf numFmtId="10" fontId="12" fillId="12" borderId="7" xfId="6" applyNumberFormat="1" applyFont="1" applyFill="1" applyBorder="1" applyAlignment="1" applyProtection="1">
      <alignment horizontal="right" vertical="top"/>
      <protection locked="0"/>
    </xf>
    <xf numFmtId="0" fontId="44" fillId="12" borderId="7" xfId="4" applyFont="1" applyFill="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0" fontId="16" fillId="7" borderId="2" xfId="4" applyFont="1" applyFill="1" applyBorder="1" applyAlignment="1">
      <alignment horizontal="left" wrapText="1"/>
    </xf>
    <xf numFmtId="0" fontId="16" fillId="7" borderId="3" xfId="4" applyFont="1" applyFill="1" applyBorder="1" applyAlignment="1">
      <alignment horizontal="left" wrapText="1"/>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59690</xdr:rowOff>
    </xdr:from>
    <xdr:to>
      <xdr:col>44</xdr:col>
      <xdr:colOff>0</xdr:colOff>
      <xdr:row>86</xdr:row>
      <xdr:rowOff>0</xdr:rowOff>
    </xdr:to>
    <xdr:cxnSp macro="">
      <xdr:nvCxnSpPr>
        <xdr:cNvPr id="29217" name="직선 화살표 연결선 29216"/>
        <xdr:cNvCxnSpPr/>
      </xdr:nvCxnSpPr>
      <xdr:spPr>
        <a:xfrm>
          <a:off x="20772120" y="753110"/>
          <a:ext cx="0" cy="12498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xdr:row>
      <xdr:rowOff>59690</xdr:rowOff>
    </xdr:from>
    <xdr:to>
      <xdr:col>31</xdr:col>
      <xdr:colOff>0</xdr:colOff>
      <xdr:row>86</xdr:row>
      <xdr:rowOff>0</xdr:rowOff>
    </xdr:to>
    <xdr:cxnSp macro="">
      <xdr:nvCxnSpPr>
        <xdr:cNvPr id="29218" name="직선 화살표 연결선 29217"/>
        <xdr:cNvCxnSpPr/>
      </xdr:nvCxnSpPr>
      <xdr:spPr>
        <a:xfrm>
          <a:off x="9014460" y="753110"/>
          <a:ext cx="0" cy="12498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85</xdr:row>
      <xdr:rowOff>19050</xdr:rowOff>
    </xdr:from>
    <xdr:to>
      <xdr:col>44</xdr:col>
      <xdr:colOff>124097</xdr:colOff>
      <xdr:row>85</xdr:row>
      <xdr:rowOff>133350</xdr:rowOff>
    </xdr:to>
    <xdr:sp macro="" textlink="">
      <xdr:nvSpPr>
        <xdr:cNvPr id="31916" name="직사각형 31915"/>
        <xdr:cNvSpPr/>
      </xdr:nvSpPr>
      <xdr:spPr>
        <a:xfrm>
          <a:off x="10979331" y="1311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85</xdr:row>
      <xdr:rowOff>76200</xdr:rowOff>
    </xdr:from>
    <xdr:to>
      <xdr:col>44</xdr:col>
      <xdr:colOff>82731</xdr:colOff>
      <xdr:row>85</xdr:row>
      <xdr:rowOff>76200</xdr:rowOff>
    </xdr:to>
    <xdr:cxnSp macro="">
      <xdr:nvCxnSpPr>
        <xdr:cNvPr id="31917" name="직선 화살표 연결선 31916"/>
        <xdr:cNvCxnSpPr/>
      </xdr:nvCxnSpPr>
      <xdr:spPr>
        <a:xfrm>
          <a:off x="10979331"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83</xdr:row>
      <xdr:rowOff>19050</xdr:rowOff>
    </xdr:from>
    <xdr:to>
      <xdr:col>44</xdr:col>
      <xdr:colOff>41366</xdr:colOff>
      <xdr:row>83</xdr:row>
      <xdr:rowOff>133350</xdr:rowOff>
    </xdr:to>
    <xdr:sp macro="" textlink="">
      <xdr:nvSpPr>
        <xdr:cNvPr id="31918" name="직사각형 31917"/>
        <xdr:cNvSpPr/>
      </xdr:nvSpPr>
      <xdr:spPr>
        <a:xfrm>
          <a:off x="10772503" y="12813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83</xdr:row>
      <xdr:rowOff>76200</xdr:rowOff>
    </xdr:from>
    <xdr:to>
      <xdr:col>43</xdr:col>
      <xdr:colOff>20683</xdr:colOff>
      <xdr:row>83</xdr:row>
      <xdr:rowOff>76200</xdr:rowOff>
    </xdr:to>
    <xdr:cxnSp macro="">
      <xdr:nvCxnSpPr>
        <xdr:cNvPr id="31919" name="직선 화살표 연결선 31918"/>
        <xdr:cNvCxnSpPr/>
      </xdr:nvCxnSpPr>
      <xdr:spPr>
        <a:xfrm>
          <a:off x="10772503"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82</xdr:row>
      <xdr:rowOff>19050</xdr:rowOff>
    </xdr:from>
    <xdr:to>
      <xdr:col>43</xdr:col>
      <xdr:colOff>41365</xdr:colOff>
      <xdr:row>82</xdr:row>
      <xdr:rowOff>133350</xdr:rowOff>
    </xdr:to>
    <xdr:sp macro="" textlink="">
      <xdr:nvSpPr>
        <xdr:cNvPr id="31920" name="직사각형 31919"/>
        <xdr:cNvSpPr/>
      </xdr:nvSpPr>
      <xdr:spPr>
        <a:xfrm>
          <a:off x="10565674" y="1266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82</xdr:row>
      <xdr:rowOff>76200</xdr:rowOff>
    </xdr:from>
    <xdr:to>
      <xdr:col>41</xdr:col>
      <xdr:colOff>103414</xdr:colOff>
      <xdr:row>82</xdr:row>
      <xdr:rowOff>76200</xdr:rowOff>
    </xdr:to>
    <xdr:cxnSp macro="">
      <xdr:nvCxnSpPr>
        <xdr:cNvPr id="31921" name="직선 화살표 연결선 31920"/>
        <xdr:cNvCxnSpPr/>
      </xdr:nvCxnSpPr>
      <xdr:spPr>
        <a:xfrm>
          <a:off x="10565674"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81</xdr:row>
      <xdr:rowOff>19050</xdr:rowOff>
    </xdr:from>
    <xdr:to>
      <xdr:col>44</xdr:col>
      <xdr:colOff>41366</xdr:colOff>
      <xdr:row>81</xdr:row>
      <xdr:rowOff>133350</xdr:rowOff>
    </xdr:to>
    <xdr:sp macro="" textlink="">
      <xdr:nvSpPr>
        <xdr:cNvPr id="31922" name="직사각형 31921"/>
        <xdr:cNvSpPr/>
      </xdr:nvSpPr>
      <xdr:spPr>
        <a:xfrm>
          <a:off x="10565674" y="125082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81</xdr:row>
      <xdr:rowOff>76200</xdr:rowOff>
    </xdr:from>
    <xdr:to>
      <xdr:col>41</xdr:col>
      <xdr:colOff>103414</xdr:colOff>
      <xdr:row>81</xdr:row>
      <xdr:rowOff>76200</xdr:rowOff>
    </xdr:to>
    <xdr:cxnSp macro="">
      <xdr:nvCxnSpPr>
        <xdr:cNvPr id="31923" name="직선 화살표 연결선 31922"/>
        <xdr:cNvCxnSpPr/>
      </xdr:nvCxnSpPr>
      <xdr:spPr>
        <a:xfrm>
          <a:off x="10565674"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41365</xdr:colOff>
      <xdr:row>79</xdr:row>
      <xdr:rowOff>19050</xdr:rowOff>
    </xdr:from>
    <xdr:to>
      <xdr:col>39</xdr:col>
      <xdr:colOff>41366</xdr:colOff>
      <xdr:row>79</xdr:row>
      <xdr:rowOff>133350</xdr:rowOff>
    </xdr:to>
    <xdr:sp macro="" textlink="">
      <xdr:nvSpPr>
        <xdr:cNvPr id="31924" name="직사각형 31923"/>
        <xdr:cNvSpPr/>
      </xdr:nvSpPr>
      <xdr:spPr>
        <a:xfrm>
          <a:off x="10069285" y="12203430"/>
          <a:ext cx="144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41365</xdr:colOff>
      <xdr:row>79</xdr:row>
      <xdr:rowOff>76200</xdr:rowOff>
    </xdr:from>
    <xdr:to>
      <xdr:col>38</xdr:col>
      <xdr:colOff>41365</xdr:colOff>
      <xdr:row>79</xdr:row>
      <xdr:rowOff>76200</xdr:rowOff>
    </xdr:to>
    <xdr:cxnSp macro="">
      <xdr:nvCxnSpPr>
        <xdr:cNvPr id="31925" name="직선 화살표 연결선 31924"/>
        <xdr:cNvCxnSpPr/>
      </xdr:nvCxnSpPr>
      <xdr:spPr>
        <a:xfrm>
          <a:off x="10069285"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78</xdr:row>
      <xdr:rowOff>19050</xdr:rowOff>
    </xdr:from>
    <xdr:to>
      <xdr:col>38</xdr:col>
      <xdr:colOff>62049</xdr:colOff>
      <xdr:row>78</xdr:row>
      <xdr:rowOff>133350</xdr:rowOff>
    </xdr:to>
    <xdr:sp macro="" textlink="">
      <xdr:nvSpPr>
        <xdr:cNvPr id="31926" name="직사각형 31925"/>
        <xdr:cNvSpPr/>
      </xdr:nvSpPr>
      <xdr:spPr>
        <a:xfrm>
          <a:off x="9841774" y="120510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78</xdr:row>
      <xdr:rowOff>76200</xdr:rowOff>
    </xdr:from>
    <xdr:to>
      <xdr:col>36</xdr:col>
      <xdr:colOff>103414</xdr:colOff>
      <xdr:row>78</xdr:row>
      <xdr:rowOff>76200</xdr:rowOff>
    </xdr:to>
    <xdr:cxnSp macro="">
      <xdr:nvCxnSpPr>
        <xdr:cNvPr id="31927" name="직선 화살표 연결선 31926"/>
        <xdr:cNvCxnSpPr/>
      </xdr:nvCxnSpPr>
      <xdr:spPr>
        <a:xfrm>
          <a:off x="9841774"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77</xdr:row>
      <xdr:rowOff>19050</xdr:rowOff>
    </xdr:from>
    <xdr:to>
      <xdr:col>39</xdr:col>
      <xdr:colOff>41366</xdr:colOff>
      <xdr:row>77</xdr:row>
      <xdr:rowOff>133350</xdr:rowOff>
    </xdr:to>
    <xdr:sp macro="" textlink="">
      <xdr:nvSpPr>
        <xdr:cNvPr id="31928" name="직사각형 31927"/>
        <xdr:cNvSpPr/>
      </xdr:nvSpPr>
      <xdr:spPr>
        <a:xfrm>
          <a:off x="9841774" y="118986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77</xdr:row>
      <xdr:rowOff>76200</xdr:rowOff>
    </xdr:from>
    <xdr:to>
      <xdr:col>36</xdr:col>
      <xdr:colOff>103414</xdr:colOff>
      <xdr:row>77</xdr:row>
      <xdr:rowOff>76200</xdr:rowOff>
    </xdr:to>
    <xdr:cxnSp macro="">
      <xdr:nvCxnSpPr>
        <xdr:cNvPr id="31929" name="직선 화살표 연결선 31928"/>
        <xdr:cNvCxnSpPr/>
      </xdr:nvCxnSpPr>
      <xdr:spPr>
        <a:xfrm>
          <a:off x="9841774"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76</xdr:row>
      <xdr:rowOff>19050</xdr:rowOff>
    </xdr:from>
    <xdr:to>
      <xdr:col>44</xdr:col>
      <xdr:colOff>124097</xdr:colOff>
      <xdr:row>76</xdr:row>
      <xdr:rowOff>133350</xdr:rowOff>
    </xdr:to>
    <xdr:sp macro="" textlink="">
      <xdr:nvSpPr>
        <xdr:cNvPr id="31930" name="직사각형 31929"/>
        <xdr:cNvSpPr/>
      </xdr:nvSpPr>
      <xdr:spPr>
        <a:xfrm>
          <a:off x="9841774" y="11746230"/>
          <a:ext cx="1178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76</xdr:row>
      <xdr:rowOff>76200</xdr:rowOff>
    </xdr:from>
    <xdr:to>
      <xdr:col>36</xdr:col>
      <xdr:colOff>103414</xdr:colOff>
      <xdr:row>76</xdr:row>
      <xdr:rowOff>76200</xdr:rowOff>
    </xdr:to>
    <xdr:cxnSp macro="">
      <xdr:nvCxnSpPr>
        <xdr:cNvPr id="31931" name="직선 화살표 연결선 31930"/>
        <xdr:cNvCxnSpPr/>
      </xdr:nvCxnSpPr>
      <xdr:spPr>
        <a:xfrm>
          <a:off x="9841774"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82731</xdr:colOff>
      <xdr:row>74</xdr:row>
      <xdr:rowOff>19050</xdr:rowOff>
    </xdr:from>
    <xdr:to>
      <xdr:col>42</xdr:col>
      <xdr:colOff>124097</xdr:colOff>
      <xdr:row>74</xdr:row>
      <xdr:rowOff>133350</xdr:rowOff>
    </xdr:to>
    <xdr:sp macro="" textlink="">
      <xdr:nvSpPr>
        <xdr:cNvPr id="31932" name="직사각형 31931"/>
        <xdr:cNvSpPr/>
      </xdr:nvSpPr>
      <xdr:spPr>
        <a:xfrm>
          <a:off x="10255431" y="11441430"/>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82731</xdr:colOff>
      <xdr:row>74</xdr:row>
      <xdr:rowOff>76200</xdr:rowOff>
    </xdr:from>
    <xdr:to>
      <xdr:col>39</xdr:col>
      <xdr:colOff>82731</xdr:colOff>
      <xdr:row>74</xdr:row>
      <xdr:rowOff>76200</xdr:rowOff>
    </xdr:to>
    <xdr:cxnSp macro="">
      <xdr:nvCxnSpPr>
        <xdr:cNvPr id="31933" name="직선 화살표 연결선 31932"/>
        <xdr:cNvCxnSpPr/>
      </xdr:nvCxnSpPr>
      <xdr:spPr>
        <a:xfrm>
          <a:off x="10255431"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73</xdr:row>
      <xdr:rowOff>19050</xdr:rowOff>
    </xdr:from>
    <xdr:to>
      <xdr:col>36</xdr:col>
      <xdr:colOff>82731</xdr:colOff>
      <xdr:row>73</xdr:row>
      <xdr:rowOff>133350</xdr:rowOff>
    </xdr:to>
    <xdr:sp macro="" textlink="">
      <xdr:nvSpPr>
        <xdr:cNvPr id="31934" name="직사각형 31933"/>
        <xdr:cNvSpPr/>
      </xdr:nvSpPr>
      <xdr:spPr>
        <a:xfrm>
          <a:off x="9510849" y="11289030"/>
          <a:ext cx="310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73</xdr:row>
      <xdr:rowOff>76200</xdr:rowOff>
    </xdr:from>
    <xdr:to>
      <xdr:col>34</xdr:col>
      <xdr:colOff>62049</xdr:colOff>
      <xdr:row>73</xdr:row>
      <xdr:rowOff>76200</xdr:rowOff>
    </xdr:to>
    <xdr:cxnSp macro="">
      <xdr:nvCxnSpPr>
        <xdr:cNvPr id="31935" name="직선 화살표 연결선 31934"/>
        <xdr:cNvCxnSpPr/>
      </xdr:nvCxnSpPr>
      <xdr:spPr>
        <a:xfrm>
          <a:off x="9510849"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72</xdr:row>
      <xdr:rowOff>19050</xdr:rowOff>
    </xdr:from>
    <xdr:to>
      <xdr:col>33</xdr:col>
      <xdr:colOff>62049</xdr:colOff>
      <xdr:row>72</xdr:row>
      <xdr:rowOff>133350</xdr:rowOff>
    </xdr:to>
    <xdr:sp macro="" textlink="">
      <xdr:nvSpPr>
        <xdr:cNvPr id="31936" name="직사각형 31935"/>
        <xdr:cNvSpPr/>
      </xdr:nvSpPr>
      <xdr:spPr>
        <a:xfrm>
          <a:off x="9241972" y="11136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72</xdr:row>
      <xdr:rowOff>76200</xdr:rowOff>
    </xdr:from>
    <xdr:to>
      <xdr:col>32</xdr:col>
      <xdr:colOff>82732</xdr:colOff>
      <xdr:row>72</xdr:row>
      <xdr:rowOff>76200</xdr:rowOff>
    </xdr:to>
    <xdr:cxnSp macro="">
      <xdr:nvCxnSpPr>
        <xdr:cNvPr id="31937" name="직선 화살표 연결선 31936"/>
        <xdr:cNvCxnSpPr/>
      </xdr:nvCxnSpPr>
      <xdr:spPr>
        <a:xfrm>
          <a:off x="9241972"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71</xdr:row>
      <xdr:rowOff>19050</xdr:rowOff>
    </xdr:from>
    <xdr:to>
      <xdr:col>42</xdr:col>
      <xdr:colOff>124097</xdr:colOff>
      <xdr:row>71</xdr:row>
      <xdr:rowOff>133350</xdr:rowOff>
    </xdr:to>
    <xdr:sp macro="" textlink="">
      <xdr:nvSpPr>
        <xdr:cNvPr id="31938" name="직사각형 31937"/>
        <xdr:cNvSpPr/>
      </xdr:nvSpPr>
      <xdr:spPr>
        <a:xfrm>
          <a:off x="9241972" y="10984230"/>
          <a:ext cx="14891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71</xdr:row>
      <xdr:rowOff>76200</xdr:rowOff>
    </xdr:from>
    <xdr:to>
      <xdr:col>32</xdr:col>
      <xdr:colOff>82732</xdr:colOff>
      <xdr:row>71</xdr:row>
      <xdr:rowOff>76200</xdr:rowOff>
    </xdr:to>
    <xdr:cxnSp macro="">
      <xdr:nvCxnSpPr>
        <xdr:cNvPr id="31939" name="직선 화살표 연결선 31938"/>
        <xdr:cNvCxnSpPr/>
      </xdr:nvCxnSpPr>
      <xdr:spPr>
        <a:xfrm>
          <a:off x="9241972"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69</xdr:row>
      <xdr:rowOff>19050</xdr:rowOff>
    </xdr:from>
    <xdr:to>
      <xdr:col>34</xdr:col>
      <xdr:colOff>82731</xdr:colOff>
      <xdr:row>69</xdr:row>
      <xdr:rowOff>133350</xdr:rowOff>
    </xdr:to>
    <xdr:sp macro="" textlink="">
      <xdr:nvSpPr>
        <xdr:cNvPr id="31940" name="직사각형 31939"/>
        <xdr:cNvSpPr/>
      </xdr:nvSpPr>
      <xdr:spPr>
        <a:xfrm>
          <a:off x="9490166" y="10679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69</xdr:row>
      <xdr:rowOff>76200</xdr:rowOff>
    </xdr:from>
    <xdr:to>
      <xdr:col>34</xdr:col>
      <xdr:colOff>41366</xdr:colOff>
      <xdr:row>69</xdr:row>
      <xdr:rowOff>76200</xdr:rowOff>
    </xdr:to>
    <xdr:cxnSp macro="">
      <xdr:nvCxnSpPr>
        <xdr:cNvPr id="31941" name="직선 화살표 연결선 31940"/>
        <xdr:cNvCxnSpPr/>
      </xdr:nvCxnSpPr>
      <xdr:spPr>
        <a:xfrm>
          <a:off x="9490166"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68</xdr:row>
      <xdr:rowOff>19050</xdr:rowOff>
    </xdr:from>
    <xdr:to>
      <xdr:col>34</xdr:col>
      <xdr:colOff>41366</xdr:colOff>
      <xdr:row>68</xdr:row>
      <xdr:rowOff>133350</xdr:rowOff>
    </xdr:to>
    <xdr:sp macro="" textlink="">
      <xdr:nvSpPr>
        <xdr:cNvPr id="31942" name="직사각형 31941"/>
        <xdr:cNvSpPr/>
      </xdr:nvSpPr>
      <xdr:spPr>
        <a:xfrm>
          <a:off x="9407434" y="105270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68</xdr:row>
      <xdr:rowOff>76200</xdr:rowOff>
    </xdr:from>
    <xdr:to>
      <xdr:col>33</xdr:col>
      <xdr:colOff>103414</xdr:colOff>
      <xdr:row>68</xdr:row>
      <xdr:rowOff>76200</xdr:rowOff>
    </xdr:to>
    <xdr:cxnSp macro="">
      <xdr:nvCxnSpPr>
        <xdr:cNvPr id="31943" name="직선 화살표 연결선 31942"/>
        <xdr:cNvCxnSpPr/>
      </xdr:nvCxnSpPr>
      <xdr:spPr>
        <a:xfrm>
          <a:off x="9407434"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67</xdr:row>
      <xdr:rowOff>19050</xdr:rowOff>
    </xdr:from>
    <xdr:to>
      <xdr:col>33</xdr:col>
      <xdr:colOff>124097</xdr:colOff>
      <xdr:row>67</xdr:row>
      <xdr:rowOff>133350</xdr:rowOff>
    </xdr:to>
    <xdr:sp macro="" textlink="">
      <xdr:nvSpPr>
        <xdr:cNvPr id="31944" name="직사각형 31943"/>
        <xdr:cNvSpPr/>
      </xdr:nvSpPr>
      <xdr:spPr>
        <a:xfrm>
          <a:off x="9366069" y="1037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67</xdr:row>
      <xdr:rowOff>76200</xdr:rowOff>
    </xdr:from>
    <xdr:to>
      <xdr:col>33</xdr:col>
      <xdr:colOff>62049</xdr:colOff>
      <xdr:row>67</xdr:row>
      <xdr:rowOff>76200</xdr:rowOff>
    </xdr:to>
    <xdr:cxnSp macro="">
      <xdr:nvCxnSpPr>
        <xdr:cNvPr id="31945" name="직선 화살표 연결선 31944"/>
        <xdr:cNvCxnSpPr/>
      </xdr:nvCxnSpPr>
      <xdr:spPr>
        <a:xfrm>
          <a:off x="936606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66</xdr:row>
      <xdr:rowOff>19050</xdr:rowOff>
    </xdr:from>
    <xdr:to>
      <xdr:col>32</xdr:col>
      <xdr:colOff>124097</xdr:colOff>
      <xdr:row>66</xdr:row>
      <xdr:rowOff>133350</xdr:rowOff>
    </xdr:to>
    <xdr:sp macro="" textlink="">
      <xdr:nvSpPr>
        <xdr:cNvPr id="31946" name="직사각형 31945"/>
        <xdr:cNvSpPr/>
      </xdr:nvSpPr>
      <xdr:spPr>
        <a:xfrm>
          <a:off x="9200606" y="10222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66</xdr:row>
      <xdr:rowOff>76200</xdr:rowOff>
    </xdr:from>
    <xdr:to>
      <xdr:col>32</xdr:col>
      <xdr:colOff>41366</xdr:colOff>
      <xdr:row>66</xdr:row>
      <xdr:rowOff>76200</xdr:rowOff>
    </xdr:to>
    <xdr:cxnSp macro="">
      <xdr:nvCxnSpPr>
        <xdr:cNvPr id="31947" name="직선 화살표 연결선 31946"/>
        <xdr:cNvCxnSpPr/>
      </xdr:nvCxnSpPr>
      <xdr:spPr>
        <a:xfrm>
          <a:off x="9200606"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65</xdr:row>
      <xdr:rowOff>19050</xdr:rowOff>
    </xdr:from>
    <xdr:to>
      <xdr:col>33</xdr:col>
      <xdr:colOff>82731</xdr:colOff>
      <xdr:row>65</xdr:row>
      <xdr:rowOff>133350</xdr:rowOff>
    </xdr:to>
    <xdr:sp macro="" textlink="">
      <xdr:nvSpPr>
        <xdr:cNvPr id="31948" name="직사각형 31947"/>
        <xdr:cNvSpPr/>
      </xdr:nvSpPr>
      <xdr:spPr>
        <a:xfrm>
          <a:off x="9324703" y="1006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65</xdr:row>
      <xdr:rowOff>76200</xdr:rowOff>
    </xdr:from>
    <xdr:to>
      <xdr:col>33</xdr:col>
      <xdr:colOff>20683</xdr:colOff>
      <xdr:row>65</xdr:row>
      <xdr:rowOff>76200</xdr:rowOff>
    </xdr:to>
    <xdr:cxnSp macro="">
      <xdr:nvCxnSpPr>
        <xdr:cNvPr id="31949" name="직선 화살표 연결선 31948"/>
        <xdr:cNvCxnSpPr/>
      </xdr:nvCxnSpPr>
      <xdr:spPr>
        <a:xfrm>
          <a:off x="9324703"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64</xdr:row>
      <xdr:rowOff>19050</xdr:rowOff>
    </xdr:from>
    <xdr:to>
      <xdr:col>34</xdr:col>
      <xdr:colOff>82731</xdr:colOff>
      <xdr:row>64</xdr:row>
      <xdr:rowOff>133350</xdr:rowOff>
    </xdr:to>
    <xdr:sp macro="" textlink="">
      <xdr:nvSpPr>
        <xdr:cNvPr id="31950" name="직사각형 31949"/>
        <xdr:cNvSpPr/>
      </xdr:nvSpPr>
      <xdr:spPr>
        <a:xfrm>
          <a:off x="9200606" y="99174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64</xdr:row>
      <xdr:rowOff>76200</xdr:rowOff>
    </xdr:from>
    <xdr:to>
      <xdr:col>32</xdr:col>
      <xdr:colOff>41366</xdr:colOff>
      <xdr:row>64</xdr:row>
      <xdr:rowOff>76200</xdr:rowOff>
    </xdr:to>
    <xdr:cxnSp macro="">
      <xdr:nvCxnSpPr>
        <xdr:cNvPr id="31951" name="직선 화살표 연결선 31950"/>
        <xdr:cNvCxnSpPr/>
      </xdr:nvCxnSpPr>
      <xdr:spPr>
        <a:xfrm>
          <a:off x="9200606"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62</xdr:row>
      <xdr:rowOff>19050</xdr:rowOff>
    </xdr:from>
    <xdr:to>
      <xdr:col>33</xdr:col>
      <xdr:colOff>124097</xdr:colOff>
      <xdr:row>62</xdr:row>
      <xdr:rowOff>133350</xdr:rowOff>
    </xdr:to>
    <xdr:sp macro="" textlink="">
      <xdr:nvSpPr>
        <xdr:cNvPr id="31952" name="직사각형 31951"/>
        <xdr:cNvSpPr/>
      </xdr:nvSpPr>
      <xdr:spPr>
        <a:xfrm>
          <a:off x="8890363" y="9612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62</xdr:row>
      <xdr:rowOff>76200</xdr:rowOff>
    </xdr:from>
    <xdr:to>
      <xdr:col>31</xdr:col>
      <xdr:colOff>91004</xdr:colOff>
      <xdr:row>62</xdr:row>
      <xdr:rowOff>76200</xdr:rowOff>
    </xdr:to>
    <xdr:cxnSp macro="">
      <xdr:nvCxnSpPr>
        <xdr:cNvPr id="31953" name="직선 화살표 연결선 31952"/>
        <xdr:cNvCxnSpPr/>
      </xdr:nvCxnSpPr>
      <xdr:spPr>
        <a:xfrm>
          <a:off x="8890363" y="9669780"/>
          <a:ext cx="2151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61</xdr:row>
      <xdr:rowOff>19050</xdr:rowOff>
    </xdr:from>
    <xdr:to>
      <xdr:col>33</xdr:col>
      <xdr:colOff>41365</xdr:colOff>
      <xdr:row>61</xdr:row>
      <xdr:rowOff>133350</xdr:rowOff>
    </xdr:to>
    <xdr:sp macro="" textlink="">
      <xdr:nvSpPr>
        <xdr:cNvPr id="31954" name="직사각형 31953"/>
        <xdr:cNvSpPr/>
      </xdr:nvSpPr>
      <xdr:spPr>
        <a:xfrm>
          <a:off x="9241972" y="946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61</xdr:row>
      <xdr:rowOff>76200</xdr:rowOff>
    </xdr:from>
    <xdr:to>
      <xdr:col>32</xdr:col>
      <xdr:colOff>82732</xdr:colOff>
      <xdr:row>61</xdr:row>
      <xdr:rowOff>76200</xdr:rowOff>
    </xdr:to>
    <xdr:cxnSp macro="">
      <xdr:nvCxnSpPr>
        <xdr:cNvPr id="31955" name="직선 화살표 연결선 31954"/>
        <xdr:cNvCxnSpPr/>
      </xdr:nvCxnSpPr>
      <xdr:spPr>
        <a:xfrm>
          <a:off x="9241972"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60</xdr:row>
      <xdr:rowOff>19050</xdr:rowOff>
    </xdr:from>
    <xdr:to>
      <xdr:col>32</xdr:col>
      <xdr:colOff>103414</xdr:colOff>
      <xdr:row>60</xdr:row>
      <xdr:rowOff>133350</xdr:rowOff>
    </xdr:to>
    <xdr:sp macro="" textlink="">
      <xdr:nvSpPr>
        <xdr:cNvPr id="31956" name="직사각형 31955"/>
        <xdr:cNvSpPr/>
      </xdr:nvSpPr>
      <xdr:spPr>
        <a:xfrm>
          <a:off x="9117874" y="93078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60</xdr:row>
      <xdr:rowOff>76200</xdr:rowOff>
    </xdr:from>
    <xdr:to>
      <xdr:col>31</xdr:col>
      <xdr:colOff>103414</xdr:colOff>
      <xdr:row>60</xdr:row>
      <xdr:rowOff>76200</xdr:rowOff>
    </xdr:to>
    <xdr:cxnSp macro="">
      <xdr:nvCxnSpPr>
        <xdr:cNvPr id="31957" name="직선 화살표 연결선 31956"/>
        <xdr:cNvCxnSpPr/>
      </xdr:nvCxnSpPr>
      <xdr:spPr>
        <a:xfrm>
          <a:off x="9117874"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59</xdr:row>
      <xdr:rowOff>19050</xdr:rowOff>
    </xdr:from>
    <xdr:to>
      <xdr:col>31</xdr:col>
      <xdr:colOff>124097</xdr:colOff>
      <xdr:row>59</xdr:row>
      <xdr:rowOff>133350</xdr:rowOff>
    </xdr:to>
    <xdr:sp macro="" textlink="">
      <xdr:nvSpPr>
        <xdr:cNvPr id="31958" name="직사각형 31957"/>
        <xdr:cNvSpPr/>
      </xdr:nvSpPr>
      <xdr:spPr>
        <a:xfrm>
          <a:off x="9076509" y="915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59</xdr:row>
      <xdr:rowOff>76200</xdr:rowOff>
    </xdr:from>
    <xdr:to>
      <xdr:col>31</xdr:col>
      <xdr:colOff>62049</xdr:colOff>
      <xdr:row>59</xdr:row>
      <xdr:rowOff>76200</xdr:rowOff>
    </xdr:to>
    <xdr:cxnSp macro="">
      <xdr:nvCxnSpPr>
        <xdr:cNvPr id="31959" name="직선 화살표 연결선 31958"/>
        <xdr:cNvCxnSpPr/>
      </xdr:nvCxnSpPr>
      <xdr:spPr>
        <a:xfrm>
          <a:off x="9076509"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58</xdr:row>
      <xdr:rowOff>19050</xdr:rowOff>
    </xdr:from>
    <xdr:to>
      <xdr:col>31</xdr:col>
      <xdr:colOff>82731</xdr:colOff>
      <xdr:row>58</xdr:row>
      <xdr:rowOff>133350</xdr:rowOff>
    </xdr:to>
    <xdr:sp macro="" textlink="">
      <xdr:nvSpPr>
        <xdr:cNvPr id="31960" name="직사각형 31959"/>
        <xdr:cNvSpPr/>
      </xdr:nvSpPr>
      <xdr:spPr>
        <a:xfrm>
          <a:off x="9035143" y="900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58</xdr:row>
      <xdr:rowOff>76200</xdr:rowOff>
    </xdr:from>
    <xdr:to>
      <xdr:col>31</xdr:col>
      <xdr:colOff>20683</xdr:colOff>
      <xdr:row>58</xdr:row>
      <xdr:rowOff>76200</xdr:rowOff>
    </xdr:to>
    <xdr:cxnSp macro="">
      <xdr:nvCxnSpPr>
        <xdr:cNvPr id="31961" name="직선 화살표 연결선 31960"/>
        <xdr:cNvCxnSpPr/>
      </xdr:nvCxnSpPr>
      <xdr:spPr>
        <a:xfrm>
          <a:off x="9035143"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57</xdr:row>
      <xdr:rowOff>19050</xdr:rowOff>
    </xdr:from>
    <xdr:to>
      <xdr:col>33</xdr:col>
      <xdr:colOff>124097</xdr:colOff>
      <xdr:row>57</xdr:row>
      <xdr:rowOff>133350</xdr:rowOff>
    </xdr:to>
    <xdr:sp macro="" textlink="">
      <xdr:nvSpPr>
        <xdr:cNvPr id="31962" name="직사각형 31961"/>
        <xdr:cNvSpPr/>
      </xdr:nvSpPr>
      <xdr:spPr>
        <a:xfrm>
          <a:off x="8890363" y="8850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57</xdr:row>
      <xdr:rowOff>76200</xdr:rowOff>
    </xdr:from>
    <xdr:to>
      <xdr:col>31</xdr:col>
      <xdr:colOff>2433</xdr:colOff>
      <xdr:row>57</xdr:row>
      <xdr:rowOff>76200</xdr:rowOff>
    </xdr:to>
    <xdr:cxnSp macro="">
      <xdr:nvCxnSpPr>
        <xdr:cNvPr id="31963" name="직선 화살표 연결선 31962"/>
        <xdr:cNvCxnSpPr/>
      </xdr:nvCxnSpPr>
      <xdr:spPr>
        <a:xfrm>
          <a:off x="8890363" y="8907780"/>
          <a:ext cx="126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55</xdr:row>
      <xdr:rowOff>19050</xdr:rowOff>
    </xdr:from>
    <xdr:to>
      <xdr:col>32</xdr:col>
      <xdr:colOff>103414</xdr:colOff>
      <xdr:row>55</xdr:row>
      <xdr:rowOff>133350</xdr:rowOff>
    </xdr:to>
    <xdr:sp macro="" textlink="">
      <xdr:nvSpPr>
        <xdr:cNvPr id="31964" name="직사각형 31963"/>
        <xdr:cNvSpPr/>
      </xdr:nvSpPr>
      <xdr:spPr>
        <a:xfrm>
          <a:off x="9076509" y="854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55</xdr:row>
      <xdr:rowOff>76200</xdr:rowOff>
    </xdr:from>
    <xdr:to>
      <xdr:col>31</xdr:col>
      <xdr:colOff>62049</xdr:colOff>
      <xdr:row>55</xdr:row>
      <xdr:rowOff>76200</xdr:rowOff>
    </xdr:to>
    <xdr:cxnSp macro="">
      <xdr:nvCxnSpPr>
        <xdr:cNvPr id="31965" name="직선 화살표 연결선 31964"/>
        <xdr:cNvCxnSpPr/>
      </xdr:nvCxnSpPr>
      <xdr:spPr>
        <a:xfrm>
          <a:off x="9076509"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54</xdr:row>
      <xdr:rowOff>19050</xdr:rowOff>
    </xdr:from>
    <xdr:to>
      <xdr:col>32</xdr:col>
      <xdr:colOff>41366</xdr:colOff>
      <xdr:row>54</xdr:row>
      <xdr:rowOff>133350</xdr:rowOff>
    </xdr:to>
    <xdr:sp macro="" textlink="">
      <xdr:nvSpPr>
        <xdr:cNvPr id="31966" name="직사각형 31965"/>
        <xdr:cNvSpPr/>
      </xdr:nvSpPr>
      <xdr:spPr>
        <a:xfrm>
          <a:off x="9097191" y="839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54</xdr:row>
      <xdr:rowOff>76200</xdr:rowOff>
    </xdr:from>
    <xdr:to>
      <xdr:col>31</xdr:col>
      <xdr:colOff>82731</xdr:colOff>
      <xdr:row>54</xdr:row>
      <xdr:rowOff>76200</xdr:rowOff>
    </xdr:to>
    <xdr:cxnSp macro="">
      <xdr:nvCxnSpPr>
        <xdr:cNvPr id="31967" name="직선 화살표 연결선 31966"/>
        <xdr:cNvCxnSpPr/>
      </xdr:nvCxnSpPr>
      <xdr:spPr>
        <a:xfrm>
          <a:off x="909719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53</xdr:row>
      <xdr:rowOff>19050</xdr:rowOff>
    </xdr:from>
    <xdr:to>
      <xdr:col>31</xdr:col>
      <xdr:colOff>103414</xdr:colOff>
      <xdr:row>53</xdr:row>
      <xdr:rowOff>133350</xdr:rowOff>
    </xdr:to>
    <xdr:sp macro="" textlink="">
      <xdr:nvSpPr>
        <xdr:cNvPr id="31968" name="직사각형 31967"/>
        <xdr:cNvSpPr/>
      </xdr:nvSpPr>
      <xdr:spPr>
        <a:xfrm>
          <a:off x="9076509" y="8241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53</xdr:row>
      <xdr:rowOff>76200</xdr:rowOff>
    </xdr:from>
    <xdr:to>
      <xdr:col>31</xdr:col>
      <xdr:colOff>62049</xdr:colOff>
      <xdr:row>53</xdr:row>
      <xdr:rowOff>76200</xdr:rowOff>
    </xdr:to>
    <xdr:cxnSp macro="">
      <xdr:nvCxnSpPr>
        <xdr:cNvPr id="31969" name="직선 화살표 연결선 31968"/>
        <xdr:cNvCxnSpPr/>
      </xdr:nvCxnSpPr>
      <xdr:spPr>
        <a:xfrm>
          <a:off x="9076509"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52</xdr:row>
      <xdr:rowOff>19050</xdr:rowOff>
    </xdr:from>
    <xdr:to>
      <xdr:col>31</xdr:col>
      <xdr:colOff>82731</xdr:colOff>
      <xdr:row>52</xdr:row>
      <xdr:rowOff>133350</xdr:rowOff>
    </xdr:to>
    <xdr:sp macro="" textlink="">
      <xdr:nvSpPr>
        <xdr:cNvPr id="31970" name="직사각형 31969"/>
        <xdr:cNvSpPr/>
      </xdr:nvSpPr>
      <xdr:spPr>
        <a:xfrm>
          <a:off x="9035143"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52</xdr:row>
      <xdr:rowOff>76200</xdr:rowOff>
    </xdr:from>
    <xdr:to>
      <xdr:col>31</xdr:col>
      <xdr:colOff>51708</xdr:colOff>
      <xdr:row>52</xdr:row>
      <xdr:rowOff>76200</xdr:rowOff>
    </xdr:to>
    <xdr:cxnSp macro="">
      <xdr:nvCxnSpPr>
        <xdr:cNvPr id="31971" name="직선 화살표 연결선 31970"/>
        <xdr:cNvCxnSpPr/>
      </xdr:nvCxnSpPr>
      <xdr:spPr>
        <a:xfrm>
          <a:off x="9035143" y="8145780"/>
          <a:ext cx="310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51</xdr:row>
      <xdr:rowOff>19050</xdr:rowOff>
    </xdr:from>
    <xdr:to>
      <xdr:col>31</xdr:col>
      <xdr:colOff>82731</xdr:colOff>
      <xdr:row>51</xdr:row>
      <xdr:rowOff>133350</xdr:rowOff>
    </xdr:to>
    <xdr:sp macro="" textlink="">
      <xdr:nvSpPr>
        <xdr:cNvPr id="31972" name="직사각형 31971"/>
        <xdr:cNvSpPr/>
      </xdr:nvSpPr>
      <xdr:spPr>
        <a:xfrm>
          <a:off x="9035143" y="793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51</xdr:row>
      <xdr:rowOff>76200</xdr:rowOff>
    </xdr:from>
    <xdr:to>
      <xdr:col>31</xdr:col>
      <xdr:colOff>20683</xdr:colOff>
      <xdr:row>51</xdr:row>
      <xdr:rowOff>76200</xdr:rowOff>
    </xdr:to>
    <xdr:cxnSp macro="">
      <xdr:nvCxnSpPr>
        <xdr:cNvPr id="31973" name="직선 화살표 연결선 31972"/>
        <xdr:cNvCxnSpPr/>
      </xdr:nvCxnSpPr>
      <xdr:spPr>
        <a:xfrm>
          <a:off x="9035143"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50</xdr:row>
      <xdr:rowOff>19050</xdr:rowOff>
    </xdr:from>
    <xdr:to>
      <xdr:col>32</xdr:col>
      <xdr:colOff>103414</xdr:colOff>
      <xdr:row>50</xdr:row>
      <xdr:rowOff>133350</xdr:rowOff>
    </xdr:to>
    <xdr:sp macro="" textlink="">
      <xdr:nvSpPr>
        <xdr:cNvPr id="31974" name="직사각형 31973"/>
        <xdr:cNvSpPr/>
      </xdr:nvSpPr>
      <xdr:spPr>
        <a:xfrm>
          <a:off x="9035143" y="7783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50</xdr:row>
      <xdr:rowOff>76200</xdr:rowOff>
    </xdr:from>
    <xdr:to>
      <xdr:col>31</xdr:col>
      <xdr:colOff>39642</xdr:colOff>
      <xdr:row>50</xdr:row>
      <xdr:rowOff>76200</xdr:rowOff>
    </xdr:to>
    <xdr:cxnSp macro="">
      <xdr:nvCxnSpPr>
        <xdr:cNvPr id="31975" name="직선 화살표 연결선 31974"/>
        <xdr:cNvCxnSpPr/>
      </xdr:nvCxnSpPr>
      <xdr:spPr>
        <a:xfrm>
          <a:off x="9035143" y="7840980"/>
          <a:ext cx="18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49</xdr:row>
      <xdr:rowOff>19050</xdr:rowOff>
    </xdr:from>
    <xdr:to>
      <xdr:col>34</xdr:col>
      <xdr:colOff>82731</xdr:colOff>
      <xdr:row>49</xdr:row>
      <xdr:rowOff>133350</xdr:rowOff>
    </xdr:to>
    <xdr:sp macro="" textlink="">
      <xdr:nvSpPr>
        <xdr:cNvPr id="31976" name="직사각형 31975"/>
        <xdr:cNvSpPr/>
      </xdr:nvSpPr>
      <xdr:spPr>
        <a:xfrm>
          <a:off x="8890363" y="76314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49</xdr:row>
      <xdr:rowOff>76200</xdr:rowOff>
    </xdr:from>
    <xdr:to>
      <xdr:col>30</xdr:col>
      <xdr:colOff>112972</xdr:colOff>
      <xdr:row>49</xdr:row>
      <xdr:rowOff>76200</xdr:rowOff>
    </xdr:to>
    <xdr:cxnSp macro="">
      <xdr:nvCxnSpPr>
        <xdr:cNvPr id="31977" name="직선 화살표 연결선 31976"/>
        <xdr:cNvCxnSpPr/>
      </xdr:nvCxnSpPr>
      <xdr:spPr>
        <a:xfrm>
          <a:off x="8890363" y="7688580"/>
          <a:ext cx="922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47</xdr:row>
      <xdr:rowOff>19050</xdr:rowOff>
    </xdr:from>
    <xdr:to>
      <xdr:col>34</xdr:col>
      <xdr:colOff>82731</xdr:colOff>
      <xdr:row>47</xdr:row>
      <xdr:rowOff>133350</xdr:rowOff>
    </xdr:to>
    <xdr:sp macro="" textlink="">
      <xdr:nvSpPr>
        <xdr:cNvPr id="31978" name="직사각형 31977"/>
        <xdr:cNvSpPr/>
      </xdr:nvSpPr>
      <xdr:spPr>
        <a:xfrm>
          <a:off x="9490166" y="732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47</xdr:row>
      <xdr:rowOff>76200</xdr:rowOff>
    </xdr:from>
    <xdr:to>
      <xdr:col>34</xdr:col>
      <xdr:colOff>41366</xdr:colOff>
      <xdr:row>47</xdr:row>
      <xdr:rowOff>76200</xdr:rowOff>
    </xdr:to>
    <xdr:cxnSp macro="">
      <xdr:nvCxnSpPr>
        <xdr:cNvPr id="31979" name="직선 화살표 연결선 31978"/>
        <xdr:cNvCxnSpPr/>
      </xdr:nvCxnSpPr>
      <xdr:spPr>
        <a:xfrm>
          <a:off x="949016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46</xdr:row>
      <xdr:rowOff>19050</xdr:rowOff>
    </xdr:from>
    <xdr:to>
      <xdr:col>34</xdr:col>
      <xdr:colOff>41366</xdr:colOff>
      <xdr:row>46</xdr:row>
      <xdr:rowOff>133350</xdr:rowOff>
    </xdr:to>
    <xdr:sp macro="" textlink="">
      <xdr:nvSpPr>
        <xdr:cNvPr id="31980" name="직사각형 31979"/>
        <xdr:cNvSpPr/>
      </xdr:nvSpPr>
      <xdr:spPr>
        <a:xfrm>
          <a:off x="9407434" y="7174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46</xdr:row>
      <xdr:rowOff>76200</xdr:rowOff>
    </xdr:from>
    <xdr:to>
      <xdr:col>33</xdr:col>
      <xdr:colOff>103414</xdr:colOff>
      <xdr:row>46</xdr:row>
      <xdr:rowOff>76200</xdr:rowOff>
    </xdr:to>
    <xdr:cxnSp macro="">
      <xdr:nvCxnSpPr>
        <xdr:cNvPr id="31981" name="직선 화살표 연결선 31980"/>
        <xdr:cNvCxnSpPr/>
      </xdr:nvCxnSpPr>
      <xdr:spPr>
        <a:xfrm>
          <a:off x="940743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45</xdr:row>
      <xdr:rowOff>19050</xdr:rowOff>
    </xdr:from>
    <xdr:to>
      <xdr:col>34</xdr:col>
      <xdr:colOff>62049</xdr:colOff>
      <xdr:row>45</xdr:row>
      <xdr:rowOff>133350</xdr:rowOff>
    </xdr:to>
    <xdr:sp macro="" textlink="">
      <xdr:nvSpPr>
        <xdr:cNvPr id="31982" name="직사각형 31981"/>
        <xdr:cNvSpPr/>
      </xdr:nvSpPr>
      <xdr:spPr>
        <a:xfrm>
          <a:off x="9407434" y="70218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45</xdr:row>
      <xdr:rowOff>76200</xdr:rowOff>
    </xdr:from>
    <xdr:to>
      <xdr:col>33</xdr:col>
      <xdr:colOff>103414</xdr:colOff>
      <xdr:row>45</xdr:row>
      <xdr:rowOff>76200</xdr:rowOff>
    </xdr:to>
    <xdr:cxnSp macro="">
      <xdr:nvCxnSpPr>
        <xdr:cNvPr id="31983" name="직선 화살표 연결선 31982"/>
        <xdr:cNvCxnSpPr/>
      </xdr:nvCxnSpPr>
      <xdr:spPr>
        <a:xfrm>
          <a:off x="9407434"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44</xdr:row>
      <xdr:rowOff>19050</xdr:rowOff>
    </xdr:from>
    <xdr:to>
      <xdr:col>33</xdr:col>
      <xdr:colOff>124097</xdr:colOff>
      <xdr:row>44</xdr:row>
      <xdr:rowOff>133350</xdr:rowOff>
    </xdr:to>
    <xdr:sp macro="" textlink="">
      <xdr:nvSpPr>
        <xdr:cNvPr id="31984" name="직사각형 31983"/>
        <xdr:cNvSpPr/>
      </xdr:nvSpPr>
      <xdr:spPr>
        <a:xfrm>
          <a:off x="9366069" y="686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44</xdr:row>
      <xdr:rowOff>76200</xdr:rowOff>
    </xdr:from>
    <xdr:to>
      <xdr:col>33</xdr:col>
      <xdr:colOff>62049</xdr:colOff>
      <xdr:row>44</xdr:row>
      <xdr:rowOff>76200</xdr:rowOff>
    </xdr:to>
    <xdr:cxnSp macro="">
      <xdr:nvCxnSpPr>
        <xdr:cNvPr id="31985" name="직선 화살표 연결선 31984"/>
        <xdr:cNvCxnSpPr/>
      </xdr:nvCxnSpPr>
      <xdr:spPr>
        <a:xfrm>
          <a:off x="93660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43</xdr:row>
      <xdr:rowOff>19050</xdr:rowOff>
    </xdr:from>
    <xdr:to>
      <xdr:col>32</xdr:col>
      <xdr:colOff>124097</xdr:colOff>
      <xdr:row>43</xdr:row>
      <xdr:rowOff>133350</xdr:rowOff>
    </xdr:to>
    <xdr:sp macro="" textlink="">
      <xdr:nvSpPr>
        <xdr:cNvPr id="31986" name="직사각형 31985"/>
        <xdr:cNvSpPr/>
      </xdr:nvSpPr>
      <xdr:spPr>
        <a:xfrm>
          <a:off x="9200606" y="6717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43</xdr:row>
      <xdr:rowOff>76200</xdr:rowOff>
    </xdr:from>
    <xdr:to>
      <xdr:col>32</xdr:col>
      <xdr:colOff>41366</xdr:colOff>
      <xdr:row>43</xdr:row>
      <xdr:rowOff>76200</xdr:rowOff>
    </xdr:to>
    <xdr:cxnSp macro="">
      <xdr:nvCxnSpPr>
        <xdr:cNvPr id="31987" name="직선 화살표 연결선 31986"/>
        <xdr:cNvCxnSpPr/>
      </xdr:nvCxnSpPr>
      <xdr:spPr>
        <a:xfrm>
          <a:off x="92006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82731</xdr:colOff>
      <xdr:row>42</xdr:row>
      <xdr:rowOff>133350</xdr:rowOff>
    </xdr:to>
    <xdr:sp macro="" textlink="">
      <xdr:nvSpPr>
        <xdr:cNvPr id="31988" name="직사각형 31987"/>
        <xdr:cNvSpPr/>
      </xdr:nvSpPr>
      <xdr:spPr>
        <a:xfrm>
          <a:off x="9324703" y="656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31989" name="직선 화살표 연결선 31988"/>
        <xdr:cNvCxnSpPr/>
      </xdr:nvCxnSpPr>
      <xdr:spPr>
        <a:xfrm>
          <a:off x="932470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41</xdr:row>
      <xdr:rowOff>19050</xdr:rowOff>
    </xdr:from>
    <xdr:to>
      <xdr:col>34</xdr:col>
      <xdr:colOff>82731</xdr:colOff>
      <xdr:row>41</xdr:row>
      <xdr:rowOff>133350</xdr:rowOff>
    </xdr:to>
    <xdr:sp macro="" textlink="">
      <xdr:nvSpPr>
        <xdr:cNvPr id="31990" name="직사각형 31989"/>
        <xdr:cNvSpPr/>
      </xdr:nvSpPr>
      <xdr:spPr>
        <a:xfrm>
          <a:off x="9200606" y="64122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41</xdr:row>
      <xdr:rowOff>76200</xdr:rowOff>
    </xdr:from>
    <xdr:to>
      <xdr:col>32</xdr:col>
      <xdr:colOff>41366</xdr:colOff>
      <xdr:row>41</xdr:row>
      <xdr:rowOff>76200</xdr:rowOff>
    </xdr:to>
    <xdr:cxnSp macro="">
      <xdr:nvCxnSpPr>
        <xdr:cNvPr id="31991" name="직선 화살표 연결선 31990"/>
        <xdr:cNvCxnSpPr/>
      </xdr:nvCxnSpPr>
      <xdr:spPr>
        <a:xfrm>
          <a:off x="9200606"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39</xdr:row>
      <xdr:rowOff>19050</xdr:rowOff>
    </xdr:from>
    <xdr:to>
      <xdr:col>32</xdr:col>
      <xdr:colOff>62048</xdr:colOff>
      <xdr:row>39</xdr:row>
      <xdr:rowOff>133350</xdr:rowOff>
    </xdr:to>
    <xdr:sp macro="" textlink="">
      <xdr:nvSpPr>
        <xdr:cNvPr id="31992" name="직사각형 31991"/>
        <xdr:cNvSpPr/>
      </xdr:nvSpPr>
      <xdr:spPr>
        <a:xfrm>
          <a:off x="9097191" y="6107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39</xdr:row>
      <xdr:rowOff>76200</xdr:rowOff>
    </xdr:from>
    <xdr:to>
      <xdr:col>31</xdr:col>
      <xdr:colOff>82731</xdr:colOff>
      <xdr:row>39</xdr:row>
      <xdr:rowOff>76200</xdr:rowOff>
    </xdr:to>
    <xdr:cxnSp macro="">
      <xdr:nvCxnSpPr>
        <xdr:cNvPr id="31993" name="직선 화살표 연결선 31992"/>
        <xdr:cNvCxnSpPr/>
      </xdr:nvCxnSpPr>
      <xdr:spPr>
        <a:xfrm>
          <a:off x="909719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38</xdr:row>
      <xdr:rowOff>19050</xdr:rowOff>
    </xdr:from>
    <xdr:to>
      <xdr:col>33</xdr:col>
      <xdr:colOff>41365</xdr:colOff>
      <xdr:row>38</xdr:row>
      <xdr:rowOff>133350</xdr:rowOff>
    </xdr:to>
    <xdr:sp macro="" textlink="">
      <xdr:nvSpPr>
        <xdr:cNvPr id="31994" name="직사각형 31993"/>
        <xdr:cNvSpPr/>
      </xdr:nvSpPr>
      <xdr:spPr>
        <a:xfrm>
          <a:off x="9241972" y="59550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38</xdr:row>
      <xdr:rowOff>76200</xdr:rowOff>
    </xdr:from>
    <xdr:to>
      <xdr:col>32</xdr:col>
      <xdr:colOff>82732</xdr:colOff>
      <xdr:row>38</xdr:row>
      <xdr:rowOff>76200</xdr:rowOff>
    </xdr:to>
    <xdr:cxnSp macro="">
      <xdr:nvCxnSpPr>
        <xdr:cNvPr id="31995" name="직선 화살표 연결선 31994"/>
        <xdr:cNvCxnSpPr/>
      </xdr:nvCxnSpPr>
      <xdr:spPr>
        <a:xfrm>
          <a:off x="9241972"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37</xdr:row>
      <xdr:rowOff>19050</xdr:rowOff>
    </xdr:from>
    <xdr:to>
      <xdr:col>32</xdr:col>
      <xdr:colOff>103414</xdr:colOff>
      <xdr:row>37</xdr:row>
      <xdr:rowOff>133350</xdr:rowOff>
    </xdr:to>
    <xdr:sp macro="" textlink="">
      <xdr:nvSpPr>
        <xdr:cNvPr id="31996" name="직사각형 31995"/>
        <xdr:cNvSpPr/>
      </xdr:nvSpPr>
      <xdr:spPr>
        <a:xfrm>
          <a:off x="9179923" y="580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37</xdr:row>
      <xdr:rowOff>76200</xdr:rowOff>
    </xdr:from>
    <xdr:to>
      <xdr:col>32</xdr:col>
      <xdr:colOff>20683</xdr:colOff>
      <xdr:row>37</xdr:row>
      <xdr:rowOff>76200</xdr:rowOff>
    </xdr:to>
    <xdr:cxnSp macro="">
      <xdr:nvCxnSpPr>
        <xdr:cNvPr id="31997" name="직선 화살표 연결선 31996"/>
        <xdr:cNvCxnSpPr/>
      </xdr:nvCxnSpPr>
      <xdr:spPr>
        <a:xfrm>
          <a:off x="917992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36</xdr:row>
      <xdr:rowOff>19050</xdr:rowOff>
    </xdr:from>
    <xdr:to>
      <xdr:col>33</xdr:col>
      <xdr:colOff>41365</xdr:colOff>
      <xdr:row>36</xdr:row>
      <xdr:rowOff>133350</xdr:rowOff>
    </xdr:to>
    <xdr:sp macro="" textlink="">
      <xdr:nvSpPr>
        <xdr:cNvPr id="31998" name="직사각형 31997"/>
        <xdr:cNvSpPr/>
      </xdr:nvSpPr>
      <xdr:spPr>
        <a:xfrm>
          <a:off x="9241972" y="565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36</xdr:row>
      <xdr:rowOff>76200</xdr:rowOff>
    </xdr:from>
    <xdr:to>
      <xdr:col>32</xdr:col>
      <xdr:colOff>82732</xdr:colOff>
      <xdr:row>36</xdr:row>
      <xdr:rowOff>76200</xdr:rowOff>
    </xdr:to>
    <xdr:cxnSp macro="">
      <xdr:nvCxnSpPr>
        <xdr:cNvPr id="31999" name="직선 화살표 연결선 31998"/>
        <xdr:cNvCxnSpPr/>
      </xdr:nvCxnSpPr>
      <xdr:spPr>
        <a:xfrm>
          <a:off x="9241972"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35</xdr:row>
      <xdr:rowOff>19050</xdr:rowOff>
    </xdr:from>
    <xdr:to>
      <xdr:col>32</xdr:col>
      <xdr:colOff>41366</xdr:colOff>
      <xdr:row>35</xdr:row>
      <xdr:rowOff>133350</xdr:rowOff>
    </xdr:to>
    <xdr:sp macro="" textlink="">
      <xdr:nvSpPr>
        <xdr:cNvPr id="32000" name="직사각형 31999"/>
        <xdr:cNvSpPr/>
      </xdr:nvSpPr>
      <xdr:spPr>
        <a:xfrm>
          <a:off x="9117874" y="5497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35</xdr:row>
      <xdr:rowOff>76200</xdr:rowOff>
    </xdr:from>
    <xdr:to>
      <xdr:col>31</xdr:col>
      <xdr:colOff>103414</xdr:colOff>
      <xdr:row>35</xdr:row>
      <xdr:rowOff>76200</xdr:rowOff>
    </xdr:to>
    <xdr:cxnSp macro="">
      <xdr:nvCxnSpPr>
        <xdr:cNvPr id="32001" name="직선 화살표 연결선 32000"/>
        <xdr:cNvCxnSpPr/>
      </xdr:nvCxnSpPr>
      <xdr:spPr>
        <a:xfrm>
          <a:off x="9117874"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34</xdr:row>
      <xdr:rowOff>19050</xdr:rowOff>
    </xdr:from>
    <xdr:to>
      <xdr:col>31</xdr:col>
      <xdr:colOff>124097</xdr:colOff>
      <xdr:row>34</xdr:row>
      <xdr:rowOff>133350</xdr:rowOff>
    </xdr:to>
    <xdr:sp macro="" textlink="">
      <xdr:nvSpPr>
        <xdr:cNvPr id="32002" name="직사각형 32001"/>
        <xdr:cNvSpPr/>
      </xdr:nvSpPr>
      <xdr:spPr>
        <a:xfrm>
          <a:off x="9076509" y="534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34</xdr:row>
      <xdr:rowOff>76200</xdr:rowOff>
    </xdr:from>
    <xdr:to>
      <xdr:col>31</xdr:col>
      <xdr:colOff>62049</xdr:colOff>
      <xdr:row>34</xdr:row>
      <xdr:rowOff>76200</xdr:rowOff>
    </xdr:to>
    <xdr:cxnSp macro="">
      <xdr:nvCxnSpPr>
        <xdr:cNvPr id="32003" name="직선 화살표 연결선 32002"/>
        <xdr:cNvCxnSpPr/>
      </xdr:nvCxnSpPr>
      <xdr:spPr>
        <a:xfrm>
          <a:off x="90765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82731</xdr:colOff>
      <xdr:row>33</xdr:row>
      <xdr:rowOff>133350</xdr:rowOff>
    </xdr:to>
    <xdr:sp macro="" textlink="">
      <xdr:nvSpPr>
        <xdr:cNvPr id="32004" name="직사각형 32003"/>
        <xdr:cNvSpPr/>
      </xdr:nvSpPr>
      <xdr:spPr>
        <a:xfrm>
          <a:off x="9035143" y="519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20683</xdr:colOff>
      <xdr:row>33</xdr:row>
      <xdr:rowOff>76200</xdr:rowOff>
    </xdr:to>
    <xdr:cxnSp macro="">
      <xdr:nvCxnSpPr>
        <xdr:cNvPr id="32005" name="직선 화살표 연결선 32004"/>
        <xdr:cNvCxnSpPr/>
      </xdr:nvCxnSpPr>
      <xdr:spPr>
        <a:xfrm>
          <a:off x="903514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33</xdr:col>
      <xdr:colOff>41365</xdr:colOff>
      <xdr:row>32</xdr:row>
      <xdr:rowOff>133350</xdr:rowOff>
    </xdr:to>
    <xdr:sp macro="" textlink="">
      <xdr:nvSpPr>
        <xdr:cNvPr id="32006" name="직사각형 32005"/>
        <xdr:cNvSpPr/>
      </xdr:nvSpPr>
      <xdr:spPr>
        <a:xfrm>
          <a:off x="9035143" y="5040630"/>
          <a:ext cx="310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31</xdr:col>
      <xdr:colOff>20683</xdr:colOff>
      <xdr:row>32</xdr:row>
      <xdr:rowOff>76200</xdr:rowOff>
    </xdr:to>
    <xdr:cxnSp macro="">
      <xdr:nvCxnSpPr>
        <xdr:cNvPr id="32007" name="직선 화살표 연결선 32006"/>
        <xdr:cNvCxnSpPr/>
      </xdr:nvCxnSpPr>
      <xdr:spPr>
        <a:xfrm>
          <a:off x="9035143"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30</xdr:row>
      <xdr:rowOff>19050</xdr:rowOff>
    </xdr:from>
    <xdr:to>
      <xdr:col>32</xdr:col>
      <xdr:colOff>103414</xdr:colOff>
      <xdr:row>30</xdr:row>
      <xdr:rowOff>133350</xdr:rowOff>
    </xdr:to>
    <xdr:sp macro="" textlink="">
      <xdr:nvSpPr>
        <xdr:cNvPr id="32008" name="직사각형 32007"/>
        <xdr:cNvSpPr/>
      </xdr:nvSpPr>
      <xdr:spPr>
        <a:xfrm>
          <a:off x="9076509" y="473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30</xdr:row>
      <xdr:rowOff>76200</xdr:rowOff>
    </xdr:from>
    <xdr:to>
      <xdr:col>31</xdr:col>
      <xdr:colOff>62049</xdr:colOff>
      <xdr:row>30</xdr:row>
      <xdr:rowOff>76200</xdr:rowOff>
    </xdr:to>
    <xdr:cxnSp macro="">
      <xdr:nvCxnSpPr>
        <xdr:cNvPr id="32009" name="직선 화살표 연결선 32008"/>
        <xdr:cNvCxnSpPr/>
      </xdr:nvCxnSpPr>
      <xdr:spPr>
        <a:xfrm>
          <a:off x="907650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29</xdr:row>
      <xdr:rowOff>19050</xdr:rowOff>
    </xdr:from>
    <xdr:to>
      <xdr:col>32</xdr:col>
      <xdr:colOff>41366</xdr:colOff>
      <xdr:row>29</xdr:row>
      <xdr:rowOff>133350</xdr:rowOff>
    </xdr:to>
    <xdr:sp macro="" textlink="">
      <xdr:nvSpPr>
        <xdr:cNvPr id="32010" name="직사각형 32009"/>
        <xdr:cNvSpPr/>
      </xdr:nvSpPr>
      <xdr:spPr>
        <a:xfrm>
          <a:off x="9097191" y="458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29</xdr:row>
      <xdr:rowOff>76200</xdr:rowOff>
    </xdr:from>
    <xdr:to>
      <xdr:col>31</xdr:col>
      <xdr:colOff>82731</xdr:colOff>
      <xdr:row>29</xdr:row>
      <xdr:rowOff>76200</xdr:rowOff>
    </xdr:to>
    <xdr:cxnSp macro="">
      <xdr:nvCxnSpPr>
        <xdr:cNvPr id="32011" name="직선 화살표 연결선 32010"/>
        <xdr:cNvCxnSpPr/>
      </xdr:nvCxnSpPr>
      <xdr:spPr>
        <a:xfrm>
          <a:off x="9097191"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28</xdr:row>
      <xdr:rowOff>19050</xdr:rowOff>
    </xdr:from>
    <xdr:to>
      <xdr:col>31</xdr:col>
      <xdr:colOff>103414</xdr:colOff>
      <xdr:row>28</xdr:row>
      <xdr:rowOff>133350</xdr:rowOff>
    </xdr:to>
    <xdr:sp macro="" textlink="">
      <xdr:nvSpPr>
        <xdr:cNvPr id="32012" name="직사각형 32011"/>
        <xdr:cNvSpPr/>
      </xdr:nvSpPr>
      <xdr:spPr>
        <a:xfrm>
          <a:off x="9035143" y="4431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28</xdr:row>
      <xdr:rowOff>76200</xdr:rowOff>
    </xdr:from>
    <xdr:to>
      <xdr:col>31</xdr:col>
      <xdr:colOff>20683</xdr:colOff>
      <xdr:row>28</xdr:row>
      <xdr:rowOff>76200</xdr:rowOff>
    </xdr:to>
    <xdr:cxnSp macro="">
      <xdr:nvCxnSpPr>
        <xdr:cNvPr id="32013" name="직선 화살표 연결선 32012"/>
        <xdr:cNvCxnSpPr/>
      </xdr:nvCxnSpPr>
      <xdr:spPr>
        <a:xfrm>
          <a:off x="9035143"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27</xdr:row>
      <xdr:rowOff>19050</xdr:rowOff>
    </xdr:from>
    <xdr:to>
      <xdr:col>32</xdr:col>
      <xdr:colOff>103414</xdr:colOff>
      <xdr:row>27</xdr:row>
      <xdr:rowOff>133350</xdr:rowOff>
    </xdr:to>
    <xdr:sp macro="" textlink="">
      <xdr:nvSpPr>
        <xdr:cNvPr id="32014" name="직사각형 32013"/>
        <xdr:cNvSpPr/>
      </xdr:nvSpPr>
      <xdr:spPr>
        <a:xfrm>
          <a:off x="9035143" y="4278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27</xdr:row>
      <xdr:rowOff>76200</xdr:rowOff>
    </xdr:from>
    <xdr:to>
      <xdr:col>31</xdr:col>
      <xdr:colOff>20683</xdr:colOff>
      <xdr:row>27</xdr:row>
      <xdr:rowOff>76200</xdr:rowOff>
    </xdr:to>
    <xdr:cxnSp macro="">
      <xdr:nvCxnSpPr>
        <xdr:cNvPr id="32015" name="직선 화살표 연결선 32014"/>
        <xdr:cNvCxnSpPr/>
      </xdr:nvCxnSpPr>
      <xdr:spPr>
        <a:xfrm>
          <a:off x="9035143"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26</xdr:row>
      <xdr:rowOff>19050</xdr:rowOff>
    </xdr:from>
    <xdr:to>
      <xdr:col>34</xdr:col>
      <xdr:colOff>82731</xdr:colOff>
      <xdr:row>26</xdr:row>
      <xdr:rowOff>133350</xdr:rowOff>
    </xdr:to>
    <xdr:sp macro="" textlink="">
      <xdr:nvSpPr>
        <xdr:cNvPr id="32016" name="직사각형 32015"/>
        <xdr:cNvSpPr/>
      </xdr:nvSpPr>
      <xdr:spPr>
        <a:xfrm>
          <a:off x="9035143" y="4126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26</xdr:row>
      <xdr:rowOff>76200</xdr:rowOff>
    </xdr:from>
    <xdr:to>
      <xdr:col>31</xdr:col>
      <xdr:colOff>20683</xdr:colOff>
      <xdr:row>26</xdr:row>
      <xdr:rowOff>76200</xdr:rowOff>
    </xdr:to>
    <xdr:cxnSp macro="">
      <xdr:nvCxnSpPr>
        <xdr:cNvPr id="32017" name="직선 화살표 연결선 32016"/>
        <xdr:cNvCxnSpPr/>
      </xdr:nvCxnSpPr>
      <xdr:spPr>
        <a:xfrm>
          <a:off x="903514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25</xdr:row>
      <xdr:rowOff>19050</xdr:rowOff>
    </xdr:from>
    <xdr:to>
      <xdr:col>34</xdr:col>
      <xdr:colOff>82731</xdr:colOff>
      <xdr:row>25</xdr:row>
      <xdr:rowOff>133350</xdr:rowOff>
    </xdr:to>
    <xdr:sp macro="" textlink="">
      <xdr:nvSpPr>
        <xdr:cNvPr id="32018" name="직사각형 32017"/>
        <xdr:cNvSpPr/>
      </xdr:nvSpPr>
      <xdr:spPr>
        <a:xfrm>
          <a:off x="8890363" y="39738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25</xdr:row>
      <xdr:rowOff>76200</xdr:rowOff>
    </xdr:from>
    <xdr:to>
      <xdr:col>30</xdr:col>
      <xdr:colOff>71869</xdr:colOff>
      <xdr:row>25</xdr:row>
      <xdr:rowOff>76200</xdr:rowOff>
    </xdr:to>
    <xdr:cxnSp macro="">
      <xdr:nvCxnSpPr>
        <xdr:cNvPr id="32019" name="직선 화살표 연결선 32018"/>
        <xdr:cNvCxnSpPr/>
      </xdr:nvCxnSpPr>
      <xdr:spPr>
        <a:xfrm>
          <a:off x="8890363" y="4030980"/>
          <a:ext cx="511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41366</xdr:colOff>
      <xdr:row>23</xdr:row>
      <xdr:rowOff>133350</xdr:rowOff>
    </xdr:to>
    <xdr:sp macro="" textlink="">
      <xdr:nvSpPr>
        <xdr:cNvPr id="32020" name="직사각형 32019"/>
        <xdr:cNvSpPr/>
      </xdr:nvSpPr>
      <xdr:spPr>
        <a:xfrm>
          <a:off x="8890363" y="3669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41366</xdr:colOff>
      <xdr:row>23</xdr:row>
      <xdr:rowOff>76200</xdr:rowOff>
    </xdr:to>
    <xdr:cxnSp macro="">
      <xdr:nvCxnSpPr>
        <xdr:cNvPr id="32021" name="직선 화살표 연결선 32020"/>
        <xdr:cNvCxnSpPr/>
      </xdr:nvCxnSpPr>
      <xdr:spPr>
        <a:xfrm>
          <a:off x="8890363" y="37261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41366</xdr:colOff>
      <xdr:row>22</xdr:row>
      <xdr:rowOff>133350</xdr:rowOff>
    </xdr:to>
    <xdr:sp macro="" textlink="">
      <xdr:nvSpPr>
        <xdr:cNvPr id="32022" name="직사각형 32021"/>
        <xdr:cNvSpPr/>
      </xdr:nvSpPr>
      <xdr:spPr>
        <a:xfrm>
          <a:off x="8890363" y="3516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41366</xdr:colOff>
      <xdr:row>22</xdr:row>
      <xdr:rowOff>76200</xdr:rowOff>
    </xdr:to>
    <xdr:cxnSp macro="">
      <xdr:nvCxnSpPr>
        <xdr:cNvPr id="32023" name="직선 화살표 연결선 32022"/>
        <xdr:cNvCxnSpPr/>
      </xdr:nvCxnSpPr>
      <xdr:spPr>
        <a:xfrm>
          <a:off x="8890363" y="3573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21</xdr:row>
      <xdr:rowOff>19050</xdr:rowOff>
    </xdr:from>
    <xdr:to>
      <xdr:col>31</xdr:col>
      <xdr:colOff>41366</xdr:colOff>
      <xdr:row>21</xdr:row>
      <xdr:rowOff>133350</xdr:rowOff>
    </xdr:to>
    <xdr:sp macro="" textlink="">
      <xdr:nvSpPr>
        <xdr:cNvPr id="32024" name="직사각형 32023"/>
        <xdr:cNvSpPr/>
      </xdr:nvSpPr>
      <xdr:spPr>
        <a:xfrm>
          <a:off x="8890363" y="3364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21</xdr:row>
      <xdr:rowOff>76200</xdr:rowOff>
    </xdr:from>
    <xdr:to>
      <xdr:col>31</xdr:col>
      <xdr:colOff>41366</xdr:colOff>
      <xdr:row>21</xdr:row>
      <xdr:rowOff>76200</xdr:rowOff>
    </xdr:to>
    <xdr:cxnSp macro="">
      <xdr:nvCxnSpPr>
        <xdr:cNvPr id="32025" name="직선 화살표 연결선 32024"/>
        <xdr:cNvCxnSpPr/>
      </xdr:nvCxnSpPr>
      <xdr:spPr>
        <a:xfrm>
          <a:off x="8890363" y="34213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20</xdr:row>
      <xdr:rowOff>19050</xdr:rowOff>
    </xdr:from>
    <xdr:to>
      <xdr:col>31</xdr:col>
      <xdr:colOff>41366</xdr:colOff>
      <xdr:row>20</xdr:row>
      <xdr:rowOff>133350</xdr:rowOff>
    </xdr:to>
    <xdr:sp macro="" textlink="">
      <xdr:nvSpPr>
        <xdr:cNvPr id="32026" name="직사각형 32025"/>
        <xdr:cNvSpPr/>
      </xdr:nvSpPr>
      <xdr:spPr>
        <a:xfrm>
          <a:off x="8890363" y="32118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20</xdr:row>
      <xdr:rowOff>76200</xdr:rowOff>
    </xdr:from>
    <xdr:to>
      <xdr:col>31</xdr:col>
      <xdr:colOff>41366</xdr:colOff>
      <xdr:row>20</xdr:row>
      <xdr:rowOff>76200</xdr:rowOff>
    </xdr:to>
    <xdr:cxnSp macro="">
      <xdr:nvCxnSpPr>
        <xdr:cNvPr id="32027" name="직선 화살표 연결선 32026"/>
        <xdr:cNvCxnSpPr/>
      </xdr:nvCxnSpPr>
      <xdr:spPr>
        <a:xfrm>
          <a:off x="8890363" y="3268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19</xdr:row>
      <xdr:rowOff>19050</xdr:rowOff>
    </xdr:from>
    <xdr:to>
      <xdr:col>42</xdr:col>
      <xdr:colOff>124097</xdr:colOff>
      <xdr:row>19</xdr:row>
      <xdr:rowOff>133350</xdr:rowOff>
    </xdr:to>
    <xdr:sp macro="" textlink="">
      <xdr:nvSpPr>
        <xdr:cNvPr id="32028" name="직사각형 32027"/>
        <xdr:cNvSpPr/>
      </xdr:nvSpPr>
      <xdr:spPr>
        <a:xfrm>
          <a:off x="8890363" y="3059430"/>
          <a:ext cx="18407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19</xdr:row>
      <xdr:rowOff>76200</xdr:rowOff>
    </xdr:from>
    <xdr:to>
      <xdr:col>32</xdr:col>
      <xdr:colOff>32440</xdr:colOff>
      <xdr:row>19</xdr:row>
      <xdr:rowOff>76200</xdr:rowOff>
    </xdr:to>
    <xdr:cxnSp macro="">
      <xdr:nvCxnSpPr>
        <xdr:cNvPr id="32029" name="직선 화살표 연결선 32028"/>
        <xdr:cNvCxnSpPr/>
      </xdr:nvCxnSpPr>
      <xdr:spPr>
        <a:xfrm>
          <a:off x="8890363" y="3116580"/>
          <a:ext cx="3013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32</xdr:col>
      <xdr:colOff>124097</xdr:colOff>
      <xdr:row>17</xdr:row>
      <xdr:rowOff>133350</xdr:rowOff>
    </xdr:to>
    <xdr:sp macro="" textlink="">
      <xdr:nvSpPr>
        <xdr:cNvPr id="32030" name="직사각형 32029"/>
        <xdr:cNvSpPr/>
      </xdr:nvSpPr>
      <xdr:spPr>
        <a:xfrm>
          <a:off x="8745583" y="2754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32</xdr:col>
      <xdr:colOff>16546</xdr:colOff>
      <xdr:row>17</xdr:row>
      <xdr:rowOff>76200</xdr:rowOff>
    </xdr:to>
    <xdr:cxnSp macro="">
      <xdr:nvCxnSpPr>
        <xdr:cNvPr id="32031" name="직선 화살표 연결선 32030"/>
        <xdr:cNvCxnSpPr/>
      </xdr:nvCxnSpPr>
      <xdr:spPr>
        <a:xfrm>
          <a:off x="8745583" y="2811780"/>
          <a:ext cx="430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103414</xdr:colOff>
      <xdr:row>16</xdr:row>
      <xdr:rowOff>19050</xdr:rowOff>
    </xdr:from>
    <xdr:to>
      <xdr:col>31</xdr:col>
      <xdr:colOff>124097</xdr:colOff>
      <xdr:row>16</xdr:row>
      <xdr:rowOff>133350</xdr:rowOff>
    </xdr:to>
    <xdr:sp macro="" textlink="">
      <xdr:nvSpPr>
        <xdr:cNvPr id="32032" name="직사각형 32031"/>
        <xdr:cNvSpPr/>
      </xdr:nvSpPr>
      <xdr:spPr>
        <a:xfrm>
          <a:off x="8973094" y="2602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103414</xdr:colOff>
      <xdr:row>16</xdr:row>
      <xdr:rowOff>76200</xdr:rowOff>
    </xdr:from>
    <xdr:to>
      <xdr:col>31</xdr:col>
      <xdr:colOff>24819</xdr:colOff>
      <xdr:row>16</xdr:row>
      <xdr:rowOff>76200</xdr:rowOff>
    </xdr:to>
    <xdr:cxnSp macro="">
      <xdr:nvCxnSpPr>
        <xdr:cNvPr id="32033" name="직선 화살표 연결선 32032"/>
        <xdr:cNvCxnSpPr/>
      </xdr:nvCxnSpPr>
      <xdr:spPr>
        <a:xfrm>
          <a:off x="8973094" y="2659380"/>
          <a:ext cx="661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15</xdr:row>
      <xdr:rowOff>19050</xdr:rowOff>
    </xdr:from>
    <xdr:to>
      <xdr:col>31</xdr:col>
      <xdr:colOff>124097</xdr:colOff>
      <xdr:row>15</xdr:row>
      <xdr:rowOff>133350</xdr:rowOff>
    </xdr:to>
    <xdr:sp macro="" textlink="">
      <xdr:nvSpPr>
        <xdr:cNvPr id="32034" name="직사각형 32033"/>
        <xdr:cNvSpPr/>
      </xdr:nvSpPr>
      <xdr:spPr>
        <a:xfrm>
          <a:off x="8890363" y="24498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15</xdr:row>
      <xdr:rowOff>76200</xdr:rowOff>
    </xdr:from>
    <xdr:to>
      <xdr:col>31</xdr:col>
      <xdr:colOff>0</xdr:colOff>
      <xdr:row>15</xdr:row>
      <xdr:rowOff>76200</xdr:rowOff>
    </xdr:to>
    <xdr:cxnSp macro="">
      <xdr:nvCxnSpPr>
        <xdr:cNvPr id="32035" name="직선 화살표 연결선 32034"/>
        <xdr:cNvCxnSpPr/>
      </xdr:nvCxnSpPr>
      <xdr:spPr>
        <a:xfrm>
          <a:off x="8890363" y="2506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xdr:row>
      <xdr:rowOff>19050</xdr:rowOff>
    </xdr:from>
    <xdr:to>
      <xdr:col>31</xdr:col>
      <xdr:colOff>124097</xdr:colOff>
      <xdr:row>14</xdr:row>
      <xdr:rowOff>133350</xdr:rowOff>
    </xdr:to>
    <xdr:sp macro="" textlink="">
      <xdr:nvSpPr>
        <xdr:cNvPr id="32036" name="직사각형 32035"/>
        <xdr:cNvSpPr/>
      </xdr:nvSpPr>
      <xdr:spPr>
        <a:xfrm>
          <a:off x="8890363" y="22974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xdr:row>
      <xdr:rowOff>76200</xdr:rowOff>
    </xdr:from>
    <xdr:to>
      <xdr:col>30</xdr:col>
      <xdr:colOff>119960</xdr:colOff>
      <xdr:row>14</xdr:row>
      <xdr:rowOff>76200</xdr:rowOff>
    </xdr:to>
    <xdr:cxnSp macro="">
      <xdr:nvCxnSpPr>
        <xdr:cNvPr id="32037" name="직선 화살표 연결선 32036"/>
        <xdr:cNvCxnSpPr/>
      </xdr:nvCxnSpPr>
      <xdr:spPr>
        <a:xfrm>
          <a:off x="8890363" y="2354580"/>
          <a:ext cx="99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13</xdr:row>
      <xdr:rowOff>19050</xdr:rowOff>
    </xdr:from>
    <xdr:to>
      <xdr:col>30</xdr:col>
      <xdr:colOff>124097</xdr:colOff>
      <xdr:row>13</xdr:row>
      <xdr:rowOff>133350</xdr:rowOff>
    </xdr:to>
    <xdr:sp macro="" textlink="">
      <xdr:nvSpPr>
        <xdr:cNvPr id="32038" name="직사각형 32037"/>
        <xdr:cNvSpPr/>
      </xdr:nvSpPr>
      <xdr:spPr>
        <a:xfrm>
          <a:off x="8890363" y="2145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13</xdr:row>
      <xdr:rowOff>76200</xdr:rowOff>
    </xdr:from>
    <xdr:to>
      <xdr:col>30</xdr:col>
      <xdr:colOff>113756</xdr:colOff>
      <xdr:row>13</xdr:row>
      <xdr:rowOff>76200</xdr:rowOff>
    </xdr:to>
    <xdr:cxnSp macro="">
      <xdr:nvCxnSpPr>
        <xdr:cNvPr id="32039" name="직선 화살표 연결선 32038"/>
        <xdr:cNvCxnSpPr/>
      </xdr:nvCxnSpPr>
      <xdr:spPr>
        <a:xfrm>
          <a:off x="8890363" y="220218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12</xdr:row>
      <xdr:rowOff>19050</xdr:rowOff>
    </xdr:from>
    <xdr:to>
      <xdr:col>32</xdr:col>
      <xdr:colOff>124097</xdr:colOff>
      <xdr:row>12</xdr:row>
      <xdr:rowOff>133350</xdr:rowOff>
    </xdr:to>
    <xdr:sp macro="" textlink="">
      <xdr:nvSpPr>
        <xdr:cNvPr id="32040" name="직사각형 32039"/>
        <xdr:cNvSpPr/>
      </xdr:nvSpPr>
      <xdr:spPr>
        <a:xfrm>
          <a:off x="8745583" y="1992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12</xdr:row>
      <xdr:rowOff>76200</xdr:rowOff>
    </xdr:from>
    <xdr:to>
      <xdr:col>31</xdr:col>
      <xdr:colOff>67483</xdr:colOff>
      <xdr:row>12</xdr:row>
      <xdr:rowOff>76200</xdr:rowOff>
    </xdr:to>
    <xdr:cxnSp macro="">
      <xdr:nvCxnSpPr>
        <xdr:cNvPr id="32041" name="직선 화살표 연결선 32040"/>
        <xdr:cNvCxnSpPr/>
      </xdr:nvCxnSpPr>
      <xdr:spPr>
        <a:xfrm>
          <a:off x="8745583" y="2049780"/>
          <a:ext cx="3363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xdr:row>
      <xdr:rowOff>19050</xdr:rowOff>
    </xdr:from>
    <xdr:to>
      <xdr:col>30</xdr:col>
      <xdr:colOff>41366</xdr:colOff>
      <xdr:row>10</xdr:row>
      <xdr:rowOff>133350</xdr:rowOff>
    </xdr:to>
    <xdr:sp macro="" textlink="">
      <xdr:nvSpPr>
        <xdr:cNvPr id="32042" name="직사각형 32041"/>
        <xdr:cNvSpPr/>
      </xdr:nvSpPr>
      <xdr:spPr>
        <a:xfrm>
          <a:off x="8786949" y="1687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xdr:row>
      <xdr:rowOff>76200</xdr:rowOff>
    </xdr:from>
    <xdr:to>
      <xdr:col>30</xdr:col>
      <xdr:colOff>41366</xdr:colOff>
      <xdr:row>10</xdr:row>
      <xdr:rowOff>76200</xdr:rowOff>
    </xdr:to>
    <xdr:cxnSp macro="">
      <xdr:nvCxnSpPr>
        <xdr:cNvPr id="32043" name="직선 화살표 연결선 32042"/>
        <xdr:cNvCxnSpPr/>
      </xdr:nvCxnSpPr>
      <xdr:spPr>
        <a:xfrm>
          <a:off x="8786949" y="1744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9</xdr:row>
      <xdr:rowOff>19050</xdr:rowOff>
    </xdr:from>
    <xdr:to>
      <xdr:col>30</xdr:col>
      <xdr:colOff>41366</xdr:colOff>
      <xdr:row>9</xdr:row>
      <xdr:rowOff>133350</xdr:rowOff>
    </xdr:to>
    <xdr:sp macro="" textlink="">
      <xdr:nvSpPr>
        <xdr:cNvPr id="32044" name="직사각형 32043"/>
        <xdr:cNvSpPr/>
      </xdr:nvSpPr>
      <xdr:spPr>
        <a:xfrm>
          <a:off x="8786949" y="1535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9</xdr:row>
      <xdr:rowOff>76200</xdr:rowOff>
    </xdr:from>
    <xdr:to>
      <xdr:col>30</xdr:col>
      <xdr:colOff>41366</xdr:colOff>
      <xdr:row>9</xdr:row>
      <xdr:rowOff>76200</xdr:rowOff>
    </xdr:to>
    <xdr:cxnSp macro="">
      <xdr:nvCxnSpPr>
        <xdr:cNvPr id="32045" name="직선 화살표 연결선 32044"/>
        <xdr:cNvCxnSpPr/>
      </xdr:nvCxnSpPr>
      <xdr:spPr>
        <a:xfrm>
          <a:off x="8786949" y="15925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8</xdr:row>
      <xdr:rowOff>19050</xdr:rowOff>
    </xdr:from>
    <xdr:to>
      <xdr:col>30</xdr:col>
      <xdr:colOff>41366</xdr:colOff>
      <xdr:row>8</xdr:row>
      <xdr:rowOff>133350</xdr:rowOff>
    </xdr:to>
    <xdr:sp macro="" textlink="">
      <xdr:nvSpPr>
        <xdr:cNvPr id="32046" name="직사각형 32045"/>
        <xdr:cNvSpPr/>
      </xdr:nvSpPr>
      <xdr:spPr>
        <a:xfrm>
          <a:off x="8786949" y="13830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8</xdr:row>
      <xdr:rowOff>76200</xdr:rowOff>
    </xdr:from>
    <xdr:to>
      <xdr:col>30</xdr:col>
      <xdr:colOff>41366</xdr:colOff>
      <xdr:row>8</xdr:row>
      <xdr:rowOff>76200</xdr:rowOff>
    </xdr:to>
    <xdr:cxnSp macro="">
      <xdr:nvCxnSpPr>
        <xdr:cNvPr id="32047" name="직선 화살표 연결선 32046"/>
        <xdr:cNvCxnSpPr/>
      </xdr:nvCxnSpPr>
      <xdr:spPr>
        <a:xfrm>
          <a:off x="8786949" y="144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7</xdr:row>
      <xdr:rowOff>19050</xdr:rowOff>
    </xdr:from>
    <xdr:to>
      <xdr:col>42</xdr:col>
      <xdr:colOff>124097</xdr:colOff>
      <xdr:row>7</xdr:row>
      <xdr:rowOff>133350</xdr:rowOff>
    </xdr:to>
    <xdr:sp macro="" textlink="">
      <xdr:nvSpPr>
        <xdr:cNvPr id="32048" name="직사각형 32047"/>
        <xdr:cNvSpPr/>
      </xdr:nvSpPr>
      <xdr:spPr>
        <a:xfrm>
          <a:off x="8745583" y="1230630"/>
          <a:ext cx="1985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7</xdr:row>
      <xdr:rowOff>76200</xdr:rowOff>
    </xdr:from>
    <xdr:to>
      <xdr:col>33</xdr:col>
      <xdr:colOff>31106</xdr:colOff>
      <xdr:row>7</xdr:row>
      <xdr:rowOff>76200</xdr:rowOff>
    </xdr:to>
    <xdr:cxnSp macro="">
      <xdr:nvCxnSpPr>
        <xdr:cNvPr id="32049" name="직선 화살표 연결선 32048"/>
        <xdr:cNvCxnSpPr/>
      </xdr:nvCxnSpPr>
      <xdr:spPr>
        <a:xfrm>
          <a:off x="8745583" y="1287780"/>
          <a:ext cx="5895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41366</xdr:colOff>
      <xdr:row>5</xdr:row>
      <xdr:rowOff>133350</xdr:rowOff>
    </xdr:to>
    <xdr:sp macro="" textlink="">
      <xdr:nvSpPr>
        <xdr:cNvPr id="32050" name="직사각형 32049"/>
        <xdr:cNvSpPr/>
      </xdr:nvSpPr>
      <xdr:spPr>
        <a:xfrm>
          <a:off x="8600803" y="92583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41366</xdr:colOff>
      <xdr:row>5</xdr:row>
      <xdr:rowOff>76200</xdr:rowOff>
    </xdr:to>
    <xdr:cxnSp macro="">
      <xdr:nvCxnSpPr>
        <xdr:cNvPr id="32051" name="직선 화살표 연결선 32050"/>
        <xdr:cNvCxnSpPr/>
      </xdr:nvCxnSpPr>
      <xdr:spPr>
        <a:xfrm>
          <a:off x="8600803"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30</xdr:col>
      <xdr:colOff>41366</xdr:colOff>
      <xdr:row>4</xdr:row>
      <xdr:rowOff>133350</xdr:rowOff>
    </xdr:to>
    <xdr:sp macro="" textlink="">
      <xdr:nvSpPr>
        <xdr:cNvPr id="32052" name="직사각형 32051"/>
        <xdr:cNvSpPr/>
      </xdr:nvSpPr>
      <xdr:spPr>
        <a:xfrm>
          <a:off x="8600803" y="77343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30</xdr:col>
      <xdr:colOff>41366</xdr:colOff>
      <xdr:row>4</xdr:row>
      <xdr:rowOff>76200</xdr:rowOff>
    </xdr:to>
    <xdr:cxnSp macro="">
      <xdr:nvCxnSpPr>
        <xdr:cNvPr id="32053" name="직선 화살표 연결선 32052"/>
        <xdr:cNvCxnSpPr/>
      </xdr:nvCxnSpPr>
      <xdr:spPr>
        <a:xfrm>
          <a:off x="8600803" y="8305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954</v>
      </c>
      <c r="C8" s="101" t="s">
        <v>1180</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1168</v>
      </c>
      <c r="D11" s="99" t="s">
        <v>25</v>
      </c>
      <c r="E11" s="108">
        <v>1</v>
      </c>
      <c r="F11" s="109" t="s">
        <v>26</v>
      </c>
      <c r="G11" s="110">
        <v>43521</v>
      </c>
      <c r="H11" s="109" t="s">
        <v>27</v>
      </c>
      <c r="I11" s="110">
        <v>43637</v>
      </c>
      <c r="J11" s="102" t="s">
        <v>417</v>
      </c>
      <c r="K11" s="102" t="s">
        <v>1187</v>
      </c>
      <c r="L11" s="102" t="s">
        <v>414</v>
      </c>
      <c r="M11" s="102">
        <v>0</v>
      </c>
      <c r="N11" s="107" t="s">
        <v>28</v>
      </c>
      <c r="O11" s="99">
        <v>0</v>
      </c>
      <c r="P11" s="99" t="s">
        <v>29</v>
      </c>
      <c r="Q11" s="107" t="s">
        <v>1169</v>
      </c>
      <c r="R11" s="102" t="s">
        <v>419</v>
      </c>
      <c r="S11" s="102">
        <v>1</v>
      </c>
      <c r="T11" s="102" t="s">
        <v>424</v>
      </c>
      <c r="U11" s="102">
        <v>1</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952</v>
      </c>
      <c r="AE12" s="102">
        <v>1</v>
      </c>
    </row>
    <row r="13" spans="1:64">
      <c r="A13" s="101" t="s">
        <v>401</v>
      </c>
      <c r="B13" s="107" t="s">
        <v>30</v>
      </c>
      <c r="C13" s="99">
        <v>1</v>
      </c>
      <c r="D13" s="107" t="s">
        <v>31</v>
      </c>
      <c r="E13" s="99" t="s">
        <v>1170</v>
      </c>
      <c r="F13" s="99" t="s">
        <v>32</v>
      </c>
      <c r="G13" s="109" t="s">
        <v>966</v>
      </c>
      <c r="H13" s="109" t="s">
        <v>33</v>
      </c>
      <c r="I13" s="102" t="s">
        <v>966</v>
      </c>
    </row>
    <row r="14" spans="1:64">
      <c r="A14" s="101" t="s">
        <v>402</v>
      </c>
      <c r="B14" s="108" t="s">
        <v>34</v>
      </c>
      <c r="C14" s="108" t="s">
        <v>1171</v>
      </c>
      <c r="D14" s="108" t="s">
        <v>35</v>
      </c>
      <c r="E14" s="108" t="s">
        <v>1172</v>
      </c>
      <c r="F14" s="108" t="s">
        <v>36</v>
      </c>
      <c r="G14" s="108" t="s">
        <v>1009</v>
      </c>
      <c r="H14" s="108" t="s">
        <v>37</v>
      </c>
      <c r="I14" s="108" t="b">
        <v>0</v>
      </c>
      <c r="J14" s="108" t="s">
        <v>38</v>
      </c>
      <c r="K14" s="108" t="s">
        <v>1012</v>
      </c>
      <c r="L14" s="108" t="s">
        <v>39</v>
      </c>
      <c r="M14" s="108" t="s">
        <v>1173</v>
      </c>
      <c r="N14" s="108" t="s">
        <v>40</v>
      </c>
      <c r="O14" s="108" t="s">
        <v>1009</v>
      </c>
      <c r="P14" s="108" t="s">
        <v>41</v>
      </c>
      <c r="Q14" s="108" t="b">
        <v>0</v>
      </c>
      <c r="R14" s="108" t="s">
        <v>42</v>
      </c>
      <c r="S14" s="108" t="s">
        <v>1039</v>
      </c>
      <c r="T14" s="108" t="s">
        <v>43</v>
      </c>
      <c r="U14" s="108" t="s">
        <v>1174</v>
      </c>
      <c r="V14" s="108" t="s">
        <v>44</v>
      </c>
      <c r="W14" s="108" t="s">
        <v>1175</v>
      </c>
      <c r="X14" s="108" t="s">
        <v>45</v>
      </c>
      <c r="Y14" s="108" t="b">
        <v>1</v>
      </c>
      <c r="Z14" s="108" t="s">
        <v>46</v>
      </c>
      <c r="AA14" s="108" t="s">
        <v>1176</v>
      </c>
      <c r="AB14" s="108" t="s">
        <v>47</v>
      </c>
      <c r="AC14" s="108" t="s">
        <v>1013</v>
      </c>
      <c r="AD14" s="108" t="s">
        <v>48</v>
      </c>
      <c r="AE14" s="108" t="s">
        <v>1040</v>
      </c>
      <c r="AF14" s="108" t="s">
        <v>49</v>
      </c>
      <c r="AG14" s="108" t="b">
        <v>1</v>
      </c>
      <c r="AH14" s="108" t="s">
        <v>50</v>
      </c>
      <c r="AI14" s="108" t="s">
        <v>1010</v>
      </c>
      <c r="AJ14" s="108" t="s">
        <v>51</v>
      </c>
      <c r="AK14" s="108" t="s">
        <v>981</v>
      </c>
      <c r="AL14" s="108" t="s">
        <v>52</v>
      </c>
      <c r="AM14" s="108" t="s">
        <v>1177</v>
      </c>
      <c r="AN14" s="108" t="s">
        <v>53</v>
      </c>
      <c r="AO14" s="108" t="b">
        <v>0</v>
      </c>
      <c r="AP14" s="108" t="s">
        <v>54</v>
      </c>
      <c r="AQ14" s="108" t="s">
        <v>979</v>
      </c>
      <c r="AR14" s="108" t="s">
        <v>55</v>
      </c>
      <c r="AS14" s="108" t="s">
        <v>1041</v>
      </c>
      <c r="AT14" s="108" t="s">
        <v>56</v>
      </c>
      <c r="AU14" s="108" t="s">
        <v>1011</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982</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898</v>
      </c>
      <c r="B1" s="124" t="s">
        <v>899</v>
      </c>
      <c r="C1" s="125" t="s">
        <v>900</v>
      </c>
      <c r="D1" s="125" t="s">
        <v>66</v>
      </c>
      <c r="E1" s="125" t="s">
        <v>67</v>
      </c>
    </row>
    <row r="2" spans="1:5" ht="79.2">
      <c r="A2" s="126" t="s">
        <v>1042</v>
      </c>
      <c r="B2" s="139">
        <v>1</v>
      </c>
      <c r="D2" s="127" t="s">
        <v>901</v>
      </c>
      <c r="E2" s="140" t="s">
        <v>587</v>
      </c>
    </row>
    <row r="3" spans="1:5" ht="112.5" customHeight="1">
      <c r="A3" s="128">
        <v>450</v>
      </c>
      <c r="B3" s="139">
        <v>2</v>
      </c>
      <c r="D3" s="127" t="s">
        <v>514</v>
      </c>
      <c r="E3" s="140" t="s">
        <v>902</v>
      </c>
    </row>
    <row r="4" spans="1:5" ht="52.8">
      <c r="B4" s="139">
        <v>3</v>
      </c>
      <c r="D4" s="127" t="s">
        <v>903</v>
      </c>
      <c r="E4" s="140" t="s">
        <v>588</v>
      </c>
    </row>
    <row r="5" spans="1:5" ht="52.8">
      <c r="B5" s="139">
        <v>4</v>
      </c>
      <c r="D5" s="127" t="s">
        <v>904</v>
      </c>
      <c r="E5" s="140" t="s">
        <v>589</v>
      </c>
    </row>
    <row r="6" spans="1:5" ht="52.8">
      <c r="B6" s="139">
        <v>5</v>
      </c>
      <c r="D6" s="127" t="s">
        <v>905</v>
      </c>
      <c r="E6" s="140" t="s">
        <v>590</v>
      </c>
    </row>
    <row r="7" spans="1:5" ht="39.6">
      <c r="B7" s="139">
        <v>6</v>
      </c>
      <c r="D7" s="127" t="s">
        <v>906</v>
      </c>
      <c r="E7" s="140" t="s">
        <v>591</v>
      </c>
    </row>
    <row r="8" spans="1:5">
      <c r="B8" s="139">
        <v>7</v>
      </c>
      <c r="D8" s="127" t="s">
        <v>892</v>
      </c>
      <c r="E8" s="140" t="s">
        <v>907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908</v>
      </c>
      <c r="D20" s="128" t="s">
        <v>909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910</v>
      </c>
      <c r="D46" s="127" t="s">
        <v>911</v>
      </c>
      <c r="E46" s="166" t="s">
        <v>912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913</v>
      </c>
      <c r="E61" s="128" t="s">
        <v>914</v>
      </c>
      <c r="F61" s="130"/>
    </row>
    <row r="62" spans="1:6" ht="14.4">
      <c r="B62" s="139">
        <v>154</v>
      </c>
      <c r="D62" s="127" t="s">
        <v>103</v>
      </c>
      <c r="E62" s="168" t="s">
        <v>896</v>
      </c>
    </row>
    <row r="63" spans="1:6" ht="14.4">
      <c r="B63" s="139">
        <v>155</v>
      </c>
      <c r="D63" s="127" t="s">
        <v>104</v>
      </c>
      <c r="E63" s="168" t="s">
        <v>915</v>
      </c>
    </row>
    <row r="64" spans="1:6">
      <c r="A64" s="131"/>
      <c r="B64" s="139">
        <v>156</v>
      </c>
      <c r="C64" s="138" t="s">
        <v>916</v>
      </c>
      <c r="D64" s="128" t="s">
        <v>917</v>
      </c>
      <c r="E64" s="128" t="s">
        <v>918</v>
      </c>
      <c r="F64" s="130"/>
    </row>
    <row r="65" spans="1:6">
      <c r="A65" s="131"/>
      <c r="B65" s="139">
        <v>157</v>
      </c>
      <c r="C65" s="138" t="s">
        <v>509</v>
      </c>
      <c r="D65" s="128" t="s">
        <v>919</v>
      </c>
      <c r="E65" s="128" t="s">
        <v>920</v>
      </c>
      <c r="F65" s="130"/>
    </row>
    <row r="66" spans="1:6">
      <c r="A66" s="131"/>
      <c r="B66" s="139">
        <v>158</v>
      </c>
      <c r="C66" s="138" t="s">
        <v>509</v>
      </c>
      <c r="D66" s="128" t="s">
        <v>921</v>
      </c>
      <c r="E66" s="128" t="s">
        <v>922</v>
      </c>
      <c r="F66" s="130"/>
    </row>
    <row r="67" spans="1:6">
      <c r="A67" s="131"/>
      <c r="B67" s="139">
        <v>159</v>
      </c>
      <c r="C67" s="138" t="s">
        <v>916</v>
      </c>
      <c r="D67" s="128" t="s">
        <v>893</v>
      </c>
      <c r="E67" s="128" t="s">
        <v>923</v>
      </c>
      <c r="F67" s="130"/>
    </row>
    <row r="68" spans="1:6">
      <c r="B68" s="139">
        <v>160</v>
      </c>
      <c r="D68" s="127" t="s">
        <v>105</v>
      </c>
      <c r="E68" s="140" t="s">
        <v>924</v>
      </c>
    </row>
    <row r="69" spans="1:6">
      <c r="B69" s="139">
        <v>161</v>
      </c>
      <c r="D69" s="127" t="s">
        <v>106</v>
      </c>
      <c r="E69" s="140" t="s">
        <v>925</v>
      </c>
    </row>
    <row r="70" spans="1:6">
      <c r="B70" s="139">
        <v>162</v>
      </c>
      <c r="D70" s="127" t="s">
        <v>926</v>
      </c>
      <c r="E70" s="140" t="s">
        <v>894</v>
      </c>
    </row>
    <row r="71" spans="1:6">
      <c r="B71" s="139">
        <v>163</v>
      </c>
      <c r="D71" s="127" t="s">
        <v>107</v>
      </c>
      <c r="E71" s="140" t="s">
        <v>927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928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980</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929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930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931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932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933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934</v>
      </c>
    </row>
    <row r="210" spans="2:5">
      <c r="B210" s="139">
        <v>302</v>
      </c>
      <c r="D210" s="127" t="s">
        <v>481</v>
      </c>
      <c r="E210" s="140" t="s">
        <v>935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910</v>
      </c>
      <c r="D221" s="127" t="s">
        <v>936</v>
      </c>
      <c r="E221" s="166" t="s">
        <v>937</v>
      </c>
    </row>
    <row r="222" spans="2:5">
      <c r="B222" s="139">
        <v>314</v>
      </c>
      <c r="D222" s="127" t="s">
        <v>210</v>
      </c>
      <c r="E222" s="140" t="s">
        <v>938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939</v>
      </c>
      <c r="E232" s="128" t="s">
        <v>516</v>
      </c>
      <c r="F232" s="130"/>
    </row>
    <row r="233" spans="1:6">
      <c r="A233" s="129"/>
      <c r="B233" s="139">
        <v>325</v>
      </c>
      <c r="C233" s="138" t="s">
        <v>509</v>
      </c>
      <c r="D233" s="128" t="s">
        <v>940</v>
      </c>
      <c r="E233" s="128" t="s">
        <v>889</v>
      </c>
      <c r="F233" s="130"/>
    </row>
    <row r="234" spans="1:6">
      <c r="A234" s="129"/>
      <c r="B234" s="139">
        <v>326</v>
      </c>
      <c r="C234" s="138" t="s">
        <v>908</v>
      </c>
      <c r="D234" s="128" t="s">
        <v>941</v>
      </c>
      <c r="E234" s="128" t="s">
        <v>942</v>
      </c>
      <c r="F234" s="130"/>
    </row>
    <row r="235" spans="1:6">
      <c r="B235" s="139">
        <v>327</v>
      </c>
      <c r="D235" s="127" t="s">
        <v>219</v>
      </c>
      <c r="E235" s="140" t="s">
        <v>560</v>
      </c>
    </row>
    <row r="236" spans="1:6" ht="14.4">
      <c r="B236" s="139">
        <v>328</v>
      </c>
      <c r="D236" s="127" t="s">
        <v>220</v>
      </c>
      <c r="E236" s="168" t="s">
        <v>895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943</v>
      </c>
      <c r="E260" s="167" t="s">
        <v>944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945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910</v>
      </c>
      <c r="D336" s="134" t="s">
        <v>946</v>
      </c>
      <c r="E336" s="134" t="s">
        <v>947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890</v>
      </c>
      <c r="E374" s="128" t="s">
        <v>948</v>
      </c>
      <c r="F374" s="130"/>
    </row>
    <row r="375" spans="1:6">
      <c r="A375" s="129"/>
      <c r="B375" s="139">
        <v>467</v>
      </c>
      <c r="C375" s="138" t="s">
        <v>509</v>
      </c>
      <c r="D375" s="128" t="s">
        <v>949</v>
      </c>
      <c r="E375" s="128" t="s">
        <v>891</v>
      </c>
      <c r="F375" s="130"/>
    </row>
    <row r="376" spans="1:6" ht="14.4">
      <c r="B376" s="139">
        <v>468</v>
      </c>
      <c r="D376" s="127" t="s">
        <v>340</v>
      </c>
      <c r="E376" s="168" t="s">
        <v>897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950</v>
      </c>
      <c r="E408" s="134" t="s">
        <v>951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953</v>
      </c>
      <c r="E435" s="140" t="s">
        <v>958</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30"/>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1065</v>
      </c>
      <c r="C2" s="95" t="s">
        <v>1153</v>
      </c>
      <c r="D2" s="95">
        <v>43521</v>
      </c>
      <c r="E2" s="96">
        <v>43535</v>
      </c>
      <c r="F2" s="95">
        <v>43521</v>
      </c>
      <c r="G2" s="95">
        <v>43526</v>
      </c>
      <c r="H2" s="92">
        <v>4</v>
      </c>
    </row>
    <row r="3" spans="1:8">
      <c r="A3" s="93">
        <v>1.1000000000000001</v>
      </c>
      <c r="B3" s="94" t="s">
        <v>1065</v>
      </c>
      <c r="C3" s="95" t="s">
        <v>1153</v>
      </c>
      <c r="D3" s="95">
        <v>43521</v>
      </c>
      <c r="E3" s="96">
        <v>43535</v>
      </c>
      <c r="F3" s="95">
        <v>43527</v>
      </c>
      <c r="G3" s="95">
        <v>43533</v>
      </c>
      <c r="H3" s="92">
        <v>5</v>
      </c>
    </row>
    <row r="4" spans="1:8">
      <c r="A4" s="93">
        <v>1.1000000000000001</v>
      </c>
      <c r="B4" s="94" t="s">
        <v>1065</v>
      </c>
      <c r="C4" s="95" t="s">
        <v>1153</v>
      </c>
      <c r="D4" s="95">
        <v>43521</v>
      </c>
      <c r="E4" s="96">
        <v>43535</v>
      </c>
      <c r="F4" s="95">
        <v>43534</v>
      </c>
      <c r="G4" s="95">
        <v>43540</v>
      </c>
      <c r="H4" s="92">
        <v>1</v>
      </c>
    </row>
    <row r="5" spans="1:8">
      <c r="A5" s="93" t="s">
        <v>955</v>
      </c>
      <c r="B5" s="94" t="s">
        <v>1043</v>
      </c>
      <c r="C5" s="95" t="s">
        <v>1153</v>
      </c>
      <c r="D5" s="95">
        <v>43530</v>
      </c>
      <c r="E5" s="96">
        <v>43535</v>
      </c>
      <c r="F5" s="95">
        <v>43527</v>
      </c>
      <c r="G5" s="95">
        <v>43533</v>
      </c>
      <c r="H5" s="92">
        <v>3</v>
      </c>
    </row>
    <row r="6" spans="1:8">
      <c r="A6" s="93" t="s">
        <v>955</v>
      </c>
      <c r="B6" s="94" t="s">
        <v>1043</v>
      </c>
      <c r="C6" s="95" t="s">
        <v>1153</v>
      </c>
      <c r="D6" s="95">
        <v>43530</v>
      </c>
      <c r="E6" s="96">
        <v>43535</v>
      </c>
      <c r="F6" s="95">
        <v>43534</v>
      </c>
      <c r="G6" s="95">
        <v>43540</v>
      </c>
      <c r="H6" s="92">
        <v>1</v>
      </c>
    </row>
    <row r="7" spans="1:8">
      <c r="A7" s="93" t="s">
        <v>972</v>
      </c>
      <c r="B7" s="94" t="s">
        <v>1044</v>
      </c>
      <c r="C7" s="95" t="s">
        <v>1153</v>
      </c>
      <c r="D7" s="95">
        <v>43530</v>
      </c>
      <c r="E7" s="96">
        <v>43535</v>
      </c>
      <c r="F7" s="95">
        <v>43527</v>
      </c>
      <c r="G7" s="95">
        <v>43533</v>
      </c>
      <c r="H7" s="92">
        <v>3</v>
      </c>
    </row>
    <row r="8" spans="1:8">
      <c r="A8" s="93" t="s">
        <v>972</v>
      </c>
      <c r="B8" s="94" t="s">
        <v>1044</v>
      </c>
      <c r="C8" s="95" t="s">
        <v>1153</v>
      </c>
      <c r="D8" s="95">
        <v>43530</v>
      </c>
      <c r="E8" s="96">
        <v>43535</v>
      </c>
      <c r="F8" s="95">
        <v>43534</v>
      </c>
      <c r="G8" s="95">
        <v>43540</v>
      </c>
      <c r="H8" s="92">
        <v>1</v>
      </c>
    </row>
    <row r="9" spans="1:8">
      <c r="A9" s="93" t="s">
        <v>956</v>
      </c>
      <c r="B9" s="94" t="s">
        <v>1045</v>
      </c>
      <c r="C9" s="95" t="s">
        <v>1087</v>
      </c>
      <c r="D9" s="95">
        <v>43535</v>
      </c>
      <c r="E9" s="96">
        <v>43539</v>
      </c>
      <c r="F9" s="95">
        <v>43534</v>
      </c>
      <c r="G9" s="95">
        <v>43540</v>
      </c>
      <c r="H9" s="92">
        <v>5</v>
      </c>
    </row>
    <row r="10" spans="1:8">
      <c r="A10" s="93" t="s">
        <v>974</v>
      </c>
      <c r="B10" s="94" t="s">
        <v>1036</v>
      </c>
      <c r="C10" s="95" t="s">
        <v>1093</v>
      </c>
      <c r="D10" s="95">
        <v>43535</v>
      </c>
      <c r="E10" s="96">
        <v>43546</v>
      </c>
      <c r="F10" s="95">
        <v>43534</v>
      </c>
      <c r="G10" s="95">
        <v>43540</v>
      </c>
      <c r="H10" s="92">
        <v>2.5</v>
      </c>
    </row>
    <row r="11" spans="1:8">
      <c r="A11" s="93" t="s">
        <v>974</v>
      </c>
      <c r="B11" s="94" t="s">
        <v>1036</v>
      </c>
      <c r="C11" s="95" t="s">
        <v>1094</v>
      </c>
      <c r="D11" s="95">
        <v>43535</v>
      </c>
      <c r="E11" s="96">
        <v>43546</v>
      </c>
      <c r="F11" s="95">
        <v>43534</v>
      </c>
      <c r="G11" s="95">
        <v>43540</v>
      </c>
      <c r="H11" s="92">
        <v>2.5</v>
      </c>
    </row>
    <row r="12" spans="1:8">
      <c r="A12" s="93" t="s">
        <v>974</v>
      </c>
      <c r="B12" s="94" t="s">
        <v>1036</v>
      </c>
      <c r="C12" s="95" t="s">
        <v>1093</v>
      </c>
      <c r="D12" s="95">
        <v>43535</v>
      </c>
      <c r="E12" s="96">
        <v>43546</v>
      </c>
      <c r="F12" s="95">
        <v>43541</v>
      </c>
      <c r="G12" s="95">
        <v>43547</v>
      </c>
      <c r="H12" s="92">
        <v>2.5</v>
      </c>
    </row>
    <row r="13" spans="1:8">
      <c r="A13" s="93" t="s">
        <v>974</v>
      </c>
      <c r="B13" s="94" t="s">
        <v>1036</v>
      </c>
      <c r="C13" s="95" t="s">
        <v>1094</v>
      </c>
      <c r="D13" s="95">
        <v>43535</v>
      </c>
      <c r="E13" s="96">
        <v>43546</v>
      </c>
      <c r="F13" s="95">
        <v>43541</v>
      </c>
      <c r="G13" s="95">
        <v>43547</v>
      </c>
      <c r="H13" s="92">
        <v>2.5</v>
      </c>
    </row>
    <row r="14" spans="1:8">
      <c r="A14" s="93" t="s">
        <v>957</v>
      </c>
      <c r="B14" s="94" t="s">
        <v>1089</v>
      </c>
      <c r="C14" s="95" t="s">
        <v>1156</v>
      </c>
      <c r="D14" s="95">
        <v>43535</v>
      </c>
      <c r="E14" s="96">
        <v>43546</v>
      </c>
      <c r="F14" s="95">
        <v>43534</v>
      </c>
      <c r="G14" s="95">
        <v>43540</v>
      </c>
      <c r="H14" s="92">
        <v>2.5</v>
      </c>
    </row>
    <row r="15" spans="1:8">
      <c r="A15" s="93" t="s">
        <v>957</v>
      </c>
      <c r="B15" s="94" t="s">
        <v>1089</v>
      </c>
      <c r="C15" s="95" t="s">
        <v>1155</v>
      </c>
      <c r="D15" s="95">
        <v>43535</v>
      </c>
      <c r="E15" s="96">
        <v>43546</v>
      </c>
      <c r="F15" s="95">
        <v>43534</v>
      </c>
      <c r="G15" s="95">
        <v>43540</v>
      </c>
      <c r="H15" s="92">
        <v>2.5</v>
      </c>
    </row>
    <row r="16" spans="1:8">
      <c r="A16" s="93" t="s">
        <v>957</v>
      </c>
      <c r="B16" s="94" t="s">
        <v>1089</v>
      </c>
      <c r="C16" s="95" t="s">
        <v>1156</v>
      </c>
      <c r="D16" s="95">
        <v>43535</v>
      </c>
      <c r="E16" s="96">
        <v>43546</v>
      </c>
      <c r="F16" s="95">
        <v>43541</v>
      </c>
      <c r="G16" s="95">
        <v>43547</v>
      </c>
      <c r="H16" s="92">
        <v>2.5</v>
      </c>
    </row>
    <row r="17" spans="1:8">
      <c r="A17" s="93" t="s">
        <v>957</v>
      </c>
      <c r="B17" s="94" t="s">
        <v>1089</v>
      </c>
      <c r="C17" s="95" t="s">
        <v>1155</v>
      </c>
      <c r="D17" s="95">
        <v>43535</v>
      </c>
      <c r="E17" s="96">
        <v>43546</v>
      </c>
      <c r="F17" s="95">
        <v>43541</v>
      </c>
      <c r="G17" s="95">
        <v>43547</v>
      </c>
      <c r="H17" s="92">
        <v>2.5</v>
      </c>
    </row>
    <row r="18" spans="1:8">
      <c r="A18" s="93" t="s">
        <v>1072</v>
      </c>
      <c r="B18" s="94" t="s">
        <v>1046</v>
      </c>
      <c r="C18" s="95" t="s">
        <v>1093</v>
      </c>
      <c r="D18" s="95">
        <v>43539</v>
      </c>
      <c r="E18" s="96">
        <v>43546</v>
      </c>
      <c r="F18" s="95">
        <v>43534</v>
      </c>
      <c r="G18" s="95">
        <v>43540</v>
      </c>
      <c r="H18" s="92">
        <v>0.25</v>
      </c>
    </row>
    <row r="19" spans="1:8">
      <c r="A19" s="93" t="s">
        <v>1072</v>
      </c>
      <c r="B19" s="94" t="s">
        <v>1046</v>
      </c>
      <c r="C19" s="95" t="s">
        <v>1094</v>
      </c>
      <c r="D19" s="95">
        <v>43539</v>
      </c>
      <c r="E19" s="96">
        <v>43546</v>
      </c>
      <c r="F19" s="95">
        <v>43534</v>
      </c>
      <c r="G19" s="95">
        <v>43540</v>
      </c>
      <c r="H19" s="92">
        <v>0.25</v>
      </c>
    </row>
    <row r="20" spans="1:8">
      <c r="A20" s="93" t="s">
        <v>1072</v>
      </c>
      <c r="B20" s="94" t="s">
        <v>1046</v>
      </c>
      <c r="C20" s="95" t="s">
        <v>1156</v>
      </c>
      <c r="D20" s="95">
        <v>43539</v>
      </c>
      <c r="E20" s="96">
        <v>43546</v>
      </c>
      <c r="F20" s="95">
        <v>43534</v>
      </c>
      <c r="G20" s="95">
        <v>43540</v>
      </c>
      <c r="H20" s="92">
        <v>0.25</v>
      </c>
    </row>
    <row r="21" spans="1:8">
      <c r="A21" s="93" t="s">
        <v>1072</v>
      </c>
      <c r="B21" s="94" t="s">
        <v>1046</v>
      </c>
      <c r="C21" s="95" t="s">
        <v>1155</v>
      </c>
      <c r="D21" s="95">
        <v>43539</v>
      </c>
      <c r="E21" s="96">
        <v>43546</v>
      </c>
      <c r="F21" s="95">
        <v>43534</v>
      </c>
      <c r="G21" s="95">
        <v>43540</v>
      </c>
      <c r="H21" s="92">
        <v>0.25</v>
      </c>
    </row>
    <row r="22" spans="1:8">
      <c r="A22" s="93" t="s">
        <v>1072</v>
      </c>
      <c r="B22" s="94" t="s">
        <v>1046</v>
      </c>
      <c r="C22" s="95" t="s">
        <v>1093</v>
      </c>
      <c r="D22" s="95">
        <v>43539</v>
      </c>
      <c r="E22" s="96">
        <v>43546</v>
      </c>
      <c r="F22" s="95">
        <v>43541</v>
      </c>
      <c r="G22" s="95">
        <v>43547</v>
      </c>
      <c r="H22" s="92">
        <v>1.25</v>
      </c>
    </row>
    <row r="23" spans="1:8">
      <c r="A23" s="93" t="s">
        <v>1072</v>
      </c>
      <c r="B23" s="94" t="s">
        <v>1046</v>
      </c>
      <c r="C23" s="95" t="s">
        <v>1094</v>
      </c>
      <c r="D23" s="95">
        <v>43539</v>
      </c>
      <c r="E23" s="96">
        <v>43546</v>
      </c>
      <c r="F23" s="95">
        <v>43541</v>
      </c>
      <c r="G23" s="95">
        <v>43547</v>
      </c>
      <c r="H23" s="92">
        <v>1.25</v>
      </c>
    </row>
    <row r="24" spans="1:8">
      <c r="A24" s="93" t="s">
        <v>1072</v>
      </c>
      <c r="B24" s="94" t="s">
        <v>1046</v>
      </c>
      <c r="C24" s="95" t="s">
        <v>1156</v>
      </c>
      <c r="D24" s="95">
        <v>43539</v>
      </c>
      <c r="E24" s="96">
        <v>43546</v>
      </c>
      <c r="F24" s="95">
        <v>43541</v>
      </c>
      <c r="G24" s="95">
        <v>43547</v>
      </c>
      <c r="H24" s="92">
        <v>1.25</v>
      </c>
    </row>
    <row r="25" spans="1:8">
      <c r="A25" s="93" t="s">
        <v>1072</v>
      </c>
      <c r="B25" s="94" t="s">
        <v>1046</v>
      </c>
      <c r="C25" s="95" t="s">
        <v>1155</v>
      </c>
      <c r="D25" s="95">
        <v>43539</v>
      </c>
      <c r="E25" s="96">
        <v>43546</v>
      </c>
      <c r="F25" s="95">
        <v>43541</v>
      </c>
      <c r="G25" s="95">
        <v>43547</v>
      </c>
      <c r="H25" s="92">
        <v>1.25</v>
      </c>
    </row>
    <row r="26" spans="1:8">
      <c r="A26" s="93" t="s">
        <v>1092</v>
      </c>
      <c r="B26" s="94" t="s">
        <v>1050</v>
      </c>
      <c r="C26" s="95" t="s">
        <v>1153</v>
      </c>
      <c r="D26" s="95">
        <v>43528</v>
      </c>
      <c r="E26" s="96">
        <v>43553</v>
      </c>
      <c r="F26" s="95">
        <v>43527</v>
      </c>
      <c r="G26" s="95">
        <v>43533</v>
      </c>
      <c r="H26" s="92">
        <v>5</v>
      </c>
    </row>
    <row r="27" spans="1:8">
      <c r="A27" s="93" t="s">
        <v>1092</v>
      </c>
      <c r="B27" s="94" t="s">
        <v>1050</v>
      </c>
      <c r="C27" s="95" t="s">
        <v>1153</v>
      </c>
      <c r="D27" s="95">
        <v>43528</v>
      </c>
      <c r="E27" s="96">
        <v>43553</v>
      </c>
      <c r="F27" s="95">
        <v>43534</v>
      </c>
      <c r="G27" s="95">
        <v>43540</v>
      </c>
      <c r="H27" s="92">
        <v>5</v>
      </c>
    </row>
    <row r="28" spans="1:8">
      <c r="A28" s="93" t="s">
        <v>1092</v>
      </c>
      <c r="B28" s="94" t="s">
        <v>1050</v>
      </c>
      <c r="C28" s="95" t="s">
        <v>1153</v>
      </c>
      <c r="D28" s="95">
        <v>43528</v>
      </c>
      <c r="E28" s="96">
        <v>43553</v>
      </c>
      <c r="F28" s="95">
        <v>43541</v>
      </c>
      <c r="G28" s="95">
        <v>43547</v>
      </c>
      <c r="H28" s="92">
        <v>5</v>
      </c>
    </row>
    <row r="29" spans="1:8">
      <c r="A29" s="93" t="s">
        <v>1092</v>
      </c>
      <c r="B29" s="94" t="s">
        <v>1050</v>
      </c>
      <c r="C29" s="95" t="s">
        <v>1153</v>
      </c>
      <c r="D29" s="95">
        <v>43528</v>
      </c>
      <c r="E29" s="96">
        <v>43553</v>
      </c>
      <c r="F29" s="95">
        <v>43548</v>
      </c>
      <c r="G29" s="95">
        <v>43554</v>
      </c>
      <c r="H29" s="92">
        <v>5</v>
      </c>
    </row>
    <row r="30" spans="1:8">
      <c r="A30" s="93" t="s">
        <v>963</v>
      </c>
      <c r="B30" s="94" t="s">
        <v>1047</v>
      </c>
      <c r="C30" s="95" t="s">
        <v>1093</v>
      </c>
      <c r="D30" s="95">
        <v>43535</v>
      </c>
      <c r="E30" s="96">
        <v>43542</v>
      </c>
      <c r="F30" s="95">
        <v>43534</v>
      </c>
      <c r="G30" s="95">
        <v>43540</v>
      </c>
      <c r="H30" s="92">
        <v>2.5</v>
      </c>
    </row>
    <row r="31" spans="1:8">
      <c r="A31" s="93" t="s">
        <v>963</v>
      </c>
      <c r="B31" s="94" t="s">
        <v>1047</v>
      </c>
      <c r="C31" s="95" t="s">
        <v>1094</v>
      </c>
      <c r="D31" s="95">
        <v>43535</v>
      </c>
      <c r="E31" s="96">
        <v>43542</v>
      </c>
      <c r="F31" s="95">
        <v>43534</v>
      </c>
      <c r="G31" s="95">
        <v>43540</v>
      </c>
      <c r="H31" s="92">
        <v>2.5</v>
      </c>
    </row>
    <row r="32" spans="1:8">
      <c r="A32" s="93" t="s">
        <v>963</v>
      </c>
      <c r="B32" s="94" t="s">
        <v>1047</v>
      </c>
      <c r="C32" s="95" t="s">
        <v>1093</v>
      </c>
      <c r="D32" s="95">
        <v>43535</v>
      </c>
      <c r="E32" s="96">
        <v>43542</v>
      </c>
      <c r="F32" s="95">
        <v>43541</v>
      </c>
      <c r="G32" s="95">
        <v>43547</v>
      </c>
      <c r="H32" s="92">
        <v>0.5</v>
      </c>
    </row>
    <row r="33" spans="1:8">
      <c r="A33" s="93" t="s">
        <v>963</v>
      </c>
      <c r="B33" s="94" t="s">
        <v>1047</v>
      </c>
      <c r="C33" s="95" t="s">
        <v>1094</v>
      </c>
      <c r="D33" s="95">
        <v>43535</v>
      </c>
      <c r="E33" s="96">
        <v>43542</v>
      </c>
      <c r="F33" s="95">
        <v>43541</v>
      </c>
      <c r="G33" s="95">
        <v>43547</v>
      </c>
      <c r="H33" s="92">
        <v>0.5</v>
      </c>
    </row>
    <row r="34" spans="1:8">
      <c r="A34" s="93" t="s">
        <v>977</v>
      </c>
      <c r="B34" s="94" t="s">
        <v>1038</v>
      </c>
      <c r="C34" s="95" t="s">
        <v>1156</v>
      </c>
      <c r="D34" s="95">
        <v>43535</v>
      </c>
      <c r="E34" s="96">
        <v>43542</v>
      </c>
      <c r="F34" s="95">
        <v>43534</v>
      </c>
      <c r="G34" s="95">
        <v>43540</v>
      </c>
      <c r="H34" s="92">
        <v>2.5</v>
      </c>
    </row>
    <row r="35" spans="1:8">
      <c r="A35" s="93" t="s">
        <v>977</v>
      </c>
      <c r="B35" s="94" t="s">
        <v>1038</v>
      </c>
      <c r="C35" s="95" t="s">
        <v>1155</v>
      </c>
      <c r="D35" s="95">
        <v>43535</v>
      </c>
      <c r="E35" s="96">
        <v>43542</v>
      </c>
      <c r="F35" s="95">
        <v>43534</v>
      </c>
      <c r="G35" s="95">
        <v>43540</v>
      </c>
      <c r="H35" s="92">
        <v>2.5</v>
      </c>
    </row>
    <row r="36" spans="1:8">
      <c r="A36" s="93" t="s">
        <v>977</v>
      </c>
      <c r="B36" s="94" t="s">
        <v>1038</v>
      </c>
      <c r="C36" s="95" t="s">
        <v>1156</v>
      </c>
      <c r="D36" s="95">
        <v>43535</v>
      </c>
      <c r="E36" s="96">
        <v>43542</v>
      </c>
      <c r="F36" s="95">
        <v>43541</v>
      </c>
      <c r="G36" s="95">
        <v>43547</v>
      </c>
      <c r="H36" s="92">
        <v>0.5</v>
      </c>
    </row>
    <row r="37" spans="1:8">
      <c r="A37" s="93" t="s">
        <v>977</v>
      </c>
      <c r="B37" s="94" t="s">
        <v>1038</v>
      </c>
      <c r="C37" s="95" t="s">
        <v>1155</v>
      </c>
      <c r="D37" s="95">
        <v>43535</v>
      </c>
      <c r="E37" s="96">
        <v>43542</v>
      </c>
      <c r="F37" s="95">
        <v>43541</v>
      </c>
      <c r="G37" s="95">
        <v>43547</v>
      </c>
      <c r="H37" s="92">
        <v>0.5</v>
      </c>
    </row>
    <row r="38" spans="1:8">
      <c r="A38" s="93" t="s">
        <v>1073</v>
      </c>
      <c r="B38" s="94" t="s">
        <v>1048</v>
      </c>
      <c r="C38" s="95" t="s">
        <v>1087</v>
      </c>
      <c r="D38" s="95">
        <v>43535</v>
      </c>
      <c r="E38" s="96">
        <v>43542</v>
      </c>
      <c r="F38" s="95">
        <v>43534</v>
      </c>
      <c r="G38" s="95">
        <v>43540</v>
      </c>
      <c r="H38" s="92">
        <v>5</v>
      </c>
    </row>
    <row r="39" spans="1:8">
      <c r="A39" s="93" t="s">
        <v>1073</v>
      </c>
      <c r="B39" s="94" t="s">
        <v>1048</v>
      </c>
      <c r="C39" s="95" t="s">
        <v>1087</v>
      </c>
      <c r="D39" s="95">
        <v>43535</v>
      </c>
      <c r="E39" s="96">
        <v>43542</v>
      </c>
      <c r="F39" s="95">
        <v>43541</v>
      </c>
      <c r="G39" s="95">
        <v>43547</v>
      </c>
      <c r="H39" s="92">
        <v>1</v>
      </c>
    </row>
    <row r="40" spans="1:8">
      <c r="A40" s="93" t="s">
        <v>1109</v>
      </c>
      <c r="B40" s="94" t="s">
        <v>1127</v>
      </c>
      <c r="C40" s="95" t="s">
        <v>1093</v>
      </c>
      <c r="D40" s="95">
        <v>43542</v>
      </c>
      <c r="E40" s="96">
        <v>43545</v>
      </c>
      <c r="F40" s="95">
        <v>43541</v>
      </c>
      <c r="G40" s="95">
        <v>43547</v>
      </c>
      <c r="H40" s="92">
        <v>4</v>
      </c>
    </row>
    <row r="41" spans="1:8">
      <c r="A41" s="93" t="s">
        <v>1110</v>
      </c>
      <c r="B41" s="94" t="s">
        <v>1125</v>
      </c>
      <c r="C41" s="95" t="s">
        <v>1093</v>
      </c>
      <c r="D41" s="95">
        <v>43545</v>
      </c>
      <c r="E41" s="96">
        <v>43549</v>
      </c>
      <c r="F41" s="95">
        <v>43541</v>
      </c>
      <c r="G41" s="95">
        <v>43547</v>
      </c>
      <c r="H41" s="92">
        <v>1</v>
      </c>
    </row>
    <row r="42" spans="1:8">
      <c r="A42" s="93" t="s">
        <v>1110</v>
      </c>
      <c r="B42" s="94" t="s">
        <v>1125</v>
      </c>
      <c r="C42" s="95" t="s">
        <v>1094</v>
      </c>
      <c r="D42" s="95">
        <v>43545</v>
      </c>
      <c r="E42" s="96">
        <v>43549</v>
      </c>
      <c r="F42" s="95">
        <v>43541</v>
      </c>
      <c r="G42" s="95">
        <v>43547</v>
      </c>
      <c r="H42" s="92">
        <v>1</v>
      </c>
    </row>
    <row r="43" spans="1:8">
      <c r="A43" s="93" t="s">
        <v>1110</v>
      </c>
      <c r="B43" s="94" t="s">
        <v>1125</v>
      </c>
      <c r="C43" s="95" t="s">
        <v>1093</v>
      </c>
      <c r="D43" s="95">
        <v>43545</v>
      </c>
      <c r="E43" s="96">
        <v>43549</v>
      </c>
      <c r="F43" s="95">
        <v>43548</v>
      </c>
      <c r="G43" s="95">
        <v>43554</v>
      </c>
      <c r="H43" s="92">
        <v>0.5</v>
      </c>
    </row>
    <row r="44" spans="1:8">
      <c r="A44" s="93" t="s">
        <v>1110</v>
      </c>
      <c r="B44" s="94" t="s">
        <v>1125</v>
      </c>
      <c r="C44" s="95" t="s">
        <v>1094</v>
      </c>
      <c r="D44" s="95">
        <v>43545</v>
      </c>
      <c r="E44" s="96">
        <v>43549</v>
      </c>
      <c r="F44" s="95">
        <v>43548</v>
      </c>
      <c r="G44" s="95">
        <v>43554</v>
      </c>
      <c r="H44" s="92">
        <v>0.5</v>
      </c>
    </row>
    <row r="45" spans="1:8">
      <c r="A45" s="93" t="s">
        <v>1132</v>
      </c>
      <c r="B45" s="94" t="s">
        <v>1108</v>
      </c>
      <c r="C45" s="95" t="s">
        <v>1093</v>
      </c>
      <c r="D45" s="95">
        <v>43549</v>
      </c>
      <c r="E45" s="96">
        <v>43552</v>
      </c>
      <c r="F45" s="95">
        <v>43548</v>
      </c>
      <c r="G45" s="95">
        <v>43554</v>
      </c>
      <c r="H45" s="92">
        <v>4</v>
      </c>
    </row>
    <row r="46" spans="1:8">
      <c r="A46" s="93" t="s">
        <v>1111</v>
      </c>
      <c r="B46" s="94" t="s">
        <v>1128</v>
      </c>
      <c r="C46" s="95" t="s">
        <v>1094</v>
      </c>
      <c r="D46" s="95">
        <v>43542</v>
      </c>
      <c r="E46" s="96">
        <v>43544</v>
      </c>
      <c r="F46" s="95">
        <v>43541</v>
      </c>
      <c r="G46" s="95">
        <v>43547</v>
      </c>
      <c r="H46" s="92">
        <v>1.5</v>
      </c>
    </row>
    <row r="47" spans="1:8">
      <c r="A47" s="93" t="s">
        <v>1111</v>
      </c>
      <c r="B47" s="94" t="s">
        <v>1128</v>
      </c>
      <c r="C47" s="95" t="s">
        <v>1156</v>
      </c>
      <c r="D47" s="95">
        <v>43542</v>
      </c>
      <c r="E47" s="96">
        <v>43544</v>
      </c>
      <c r="F47" s="95">
        <v>43541</v>
      </c>
      <c r="G47" s="95">
        <v>43547</v>
      </c>
      <c r="H47" s="92">
        <v>1.5</v>
      </c>
    </row>
    <row r="48" spans="1:8">
      <c r="A48" s="93" t="s">
        <v>1112</v>
      </c>
      <c r="B48" s="94" t="s">
        <v>1100</v>
      </c>
      <c r="C48" s="95" t="s">
        <v>1094</v>
      </c>
      <c r="D48" s="95">
        <v>43544</v>
      </c>
      <c r="E48" s="96">
        <v>43546</v>
      </c>
      <c r="F48" s="95">
        <v>43541</v>
      </c>
      <c r="G48" s="95">
        <v>43547</v>
      </c>
      <c r="H48" s="92">
        <v>1.5</v>
      </c>
    </row>
    <row r="49" spans="1:8">
      <c r="A49" s="93" t="s">
        <v>1112</v>
      </c>
      <c r="B49" s="94" t="s">
        <v>1100</v>
      </c>
      <c r="C49" s="95" t="s">
        <v>1087</v>
      </c>
      <c r="D49" s="95">
        <v>43544</v>
      </c>
      <c r="E49" s="96">
        <v>43546</v>
      </c>
      <c r="F49" s="95">
        <v>43541</v>
      </c>
      <c r="G49" s="95">
        <v>43547</v>
      </c>
      <c r="H49" s="92">
        <v>1.5</v>
      </c>
    </row>
    <row r="50" spans="1:8">
      <c r="A50" s="93" t="s">
        <v>1113</v>
      </c>
      <c r="B50" s="94" t="s">
        <v>1101</v>
      </c>
      <c r="C50" s="95" t="s">
        <v>1094</v>
      </c>
      <c r="D50" s="95">
        <v>43546</v>
      </c>
      <c r="E50" s="96">
        <v>43549</v>
      </c>
      <c r="F50" s="95">
        <v>43541</v>
      </c>
      <c r="G50" s="95">
        <v>43547</v>
      </c>
      <c r="H50" s="92">
        <v>1</v>
      </c>
    </row>
    <row r="51" spans="1:8">
      <c r="A51" s="93" t="s">
        <v>1113</v>
      </c>
      <c r="B51" s="94" t="s">
        <v>1101</v>
      </c>
      <c r="C51" s="95" t="s">
        <v>1094</v>
      </c>
      <c r="D51" s="95">
        <v>43546</v>
      </c>
      <c r="E51" s="96">
        <v>43549</v>
      </c>
      <c r="F51" s="95">
        <v>43548</v>
      </c>
      <c r="G51" s="95">
        <v>43554</v>
      </c>
      <c r="H51" s="92">
        <v>1</v>
      </c>
    </row>
    <row r="52" spans="1:8">
      <c r="A52" s="93" t="s">
        <v>1114</v>
      </c>
      <c r="B52" s="94" t="s">
        <v>1102</v>
      </c>
      <c r="C52" s="95" t="s">
        <v>1094</v>
      </c>
      <c r="D52" s="95">
        <v>43552</v>
      </c>
      <c r="E52" s="96">
        <v>43556</v>
      </c>
      <c r="F52" s="95">
        <v>43548</v>
      </c>
      <c r="G52" s="95">
        <v>43554</v>
      </c>
      <c r="H52" s="92">
        <v>2</v>
      </c>
    </row>
    <row r="53" spans="1:8">
      <c r="A53" s="93" t="s">
        <v>1114</v>
      </c>
      <c r="B53" s="94" t="s">
        <v>1102</v>
      </c>
      <c r="C53" s="95" t="s">
        <v>1094</v>
      </c>
      <c r="D53" s="95">
        <v>43552</v>
      </c>
      <c r="E53" s="96">
        <v>43556</v>
      </c>
      <c r="F53" s="95">
        <v>43555</v>
      </c>
      <c r="G53" s="95">
        <v>43561</v>
      </c>
      <c r="H53" s="92">
        <v>1</v>
      </c>
    </row>
    <row r="54" spans="1:8">
      <c r="A54" s="93" t="s">
        <v>1115</v>
      </c>
      <c r="B54" s="94" t="s">
        <v>1103</v>
      </c>
      <c r="C54" s="95" t="s">
        <v>1094</v>
      </c>
      <c r="D54" s="95">
        <v>43549</v>
      </c>
      <c r="E54" s="96">
        <v>43552</v>
      </c>
      <c r="F54" s="95">
        <v>43548</v>
      </c>
      <c r="G54" s="95">
        <v>43554</v>
      </c>
      <c r="H54" s="92">
        <v>2</v>
      </c>
    </row>
    <row r="55" spans="1:8">
      <c r="A55" s="93" t="s">
        <v>1115</v>
      </c>
      <c r="B55" s="94" t="s">
        <v>1103</v>
      </c>
      <c r="C55" s="95" t="s">
        <v>1093</v>
      </c>
      <c r="D55" s="95">
        <v>43549</v>
      </c>
      <c r="E55" s="96">
        <v>43552</v>
      </c>
      <c r="F55" s="95">
        <v>43548</v>
      </c>
      <c r="G55" s="95">
        <v>43554</v>
      </c>
      <c r="H55" s="92">
        <v>2</v>
      </c>
    </row>
    <row r="56" spans="1:8">
      <c r="A56" s="93" t="s">
        <v>1133</v>
      </c>
      <c r="B56" s="94" t="s">
        <v>1126</v>
      </c>
      <c r="C56" s="95" t="s">
        <v>1094</v>
      </c>
      <c r="D56" s="95">
        <v>43552</v>
      </c>
      <c r="E56" s="96">
        <v>43556</v>
      </c>
      <c r="F56" s="95">
        <v>43548</v>
      </c>
      <c r="G56" s="95">
        <v>43554</v>
      </c>
      <c r="H56" s="92">
        <v>1</v>
      </c>
    </row>
    <row r="57" spans="1:8">
      <c r="A57" s="93" t="s">
        <v>1133</v>
      </c>
      <c r="B57" s="94" t="s">
        <v>1126</v>
      </c>
      <c r="C57" s="95" t="s">
        <v>1093</v>
      </c>
      <c r="D57" s="95">
        <v>43552</v>
      </c>
      <c r="E57" s="96">
        <v>43556</v>
      </c>
      <c r="F57" s="95">
        <v>43548</v>
      </c>
      <c r="G57" s="95">
        <v>43554</v>
      </c>
      <c r="H57" s="92">
        <v>1</v>
      </c>
    </row>
    <row r="58" spans="1:8">
      <c r="A58" s="93" t="s">
        <v>1133</v>
      </c>
      <c r="B58" s="94" t="s">
        <v>1126</v>
      </c>
      <c r="C58" s="95" t="s">
        <v>1094</v>
      </c>
      <c r="D58" s="95">
        <v>43552</v>
      </c>
      <c r="E58" s="96">
        <v>43556</v>
      </c>
      <c r="F58" s="95">
        <v>43555</v>
      </c>
      <c r="G58" s="95">
        <v>43561</v>
      </c>
      <c r="H58" s="92">
        <v>0.5</v>
      </c>
    </row>
    <row r="59" spans="1:8">
      <c r="A59" s="93" t="s">
        <v>1133</v>
      </c>
      <c r="B59" s="94" t="s">
        <v>1126</v>
      </c>
      <c r="C59" s="95" t="s">
        <v>1093</v>
      </c>
      <c r="D59" s="95">
        <v>43552</v>
      </c>
      <c r="E59" s="96">
        <v>43556</v>
      </c>
      <c r="F59" s="95">
        <v>43555</v>
      </c>
      <c r="G59" s="95">
        <v>43561</v>
      </c>
      <c r="H59" s="92">
        <v>0.5</v>
      </c>
    </row>
    <row r="60" spans="1:8">
      <c r="A60" s="93" t="s">
        <v>1134</v>
      </c>
      <c r="B60" s="94" t="s">
        <v>1051</v>
      </c>
      <c r="C60" s="95" t="s">
        <v>1094</v>
      </c>
      <c r="D60" s="95">
        <v>43545</v>
      </c>
      <c r="E60" s="96">
        <v>43550</v>
      </c>
      <c r="F60" s="95">
        <v>43541</v>
      </c>
      <c r="G60" s="95">
        <v>43547</v>
      </c>
      <c r="H60" s="92">
        <v>1</v>
      </c>
    </row>
    <row r="61" spans="1:8">
      <c r="A61" s="93" t="s">
        <v>1134</v>
      </c>
      <c r="B61" s="94" t="s">
        <v>1051</v>
      </c>
      <c r="C61" s="95" t="s">
        <v>1087</v>
      </c>
      <c r="D61" s="95">
        <v>43545</v>
      </c>
      <c r="E61" s="96">
        <v>43550</v>
      </c>
      <c r="F61" s="95">
        <v>43541</v>
      </c>
      <c r="G61" s="95">
        <v>43547</v>
      </c>
      <c r="H61" s="92">
        <v>1</v>
      </c>
    </row>
    <row r="62" spans="1:8">
      <c r="A62" s="93" t="s">
        <v>1134</v>
      </c>
      <c r="B62" s="94" t="s">
        <v>1051</v>
      </c>
      <c r="C62" s="95" t="s">
        <v>1094</v>
      </c>
      <c r="D62" s="95">
        <v>43545</v>
      </c>
      <c r="E62" s="96">
        <v>43550</v>
      </c>
      <c r="F62" s="95">
        <v>43548</v>
      </c>
      <c r="G62" s="95">
        <v>43554</v>
      </c>
      <c r="H62" s="92">
        <v>1</v>
      </c>
    </row>
    <row r="63" spans="1:8">
      <c r="A63" s="93" t="s">
        <v>1134</v>
      </c>
      <c r="B63" s="94" t="s">
        <v>1051</v>
      </c>
      <c r="C63" s="95" t="s">
        <v>1087</v>
      </c>
      <c r="D63" s="95">
        <v>43545</v>
      </c>
      <c r="E63" s="96">
        <v>43550</v>
      </c>
      <c r="F63" s="95">
        <v>43548</v>
      </c>
      <c r="G63" s="95">
        <v>43554</v>
      </c>
      <c r="H63" s="92">
        <v>1</v>
      </c>
    </row>
    <row r="64" spans="1:8">
      <c r="A64" s="93" t="s">
        <v>1116</v>
      </c>
      <c r="B64" s="94" t="s">
        <v>1123</v>
      </c>
      <c r="C64" s="95" t="s">
        <v>1093</v>
      </c>
      <c r="D64" s="95">
        <v>43556</v>
      </c>
      <c r="E64" s="96">
        <v>43558</v>
      </c>
      <c r="F64" s="95">
        <v>43555</v>
      </c>
      <c r="G64" s="95">
        <v>43561</v>
      </c>
      <c r="H64" s="92">
        <v>1.5</v>
      </c>
    </row>
    <row r="65" spans="1:8">
      <c r="A65" s="93" t="s">
        <v>1116</v>
      </c>
      <c r="B65" s="94" t="s">
        <v>1123</v>
      </c>
      <c r="C65" s="95" t="s">
        <v>1087</v>
      </c>
      <c r="D65" s="95">
        <v>43556</v>
      </c>
      <c r="E65" s="96">
        <v>43558</v>
      </c>
      <c r="F65" s="95">
        <v>43555</v>
      </c>
      <c r="G65" s="95">
        <v>43561</v>
      </c>
      <c r="H65" s="92">
        <v>1.5</v>
      </c>
    </row>
    <row r="66" spans="1:8">
      <c r="A66" s="93" t="s">
        <v>1117</v>
      </c>
      <c r="B66" s="94" t="s">
        <v>1106</v>
      </c>
      <c r="C66" s="95" t="s">
        <v>1094</v>
      </c>
      <c r="D66" s="95">
        <v>43550</v>
      </c>
      <c r="E66" s="96">
        <v>43553</v>
      </c>
      <c r="F66" s="95">
        <v>43548</v>
      </c>
      <c r="G66" s="95">
        <v>43554</v>
      </c>
      <c r="H66" s="92">
        <v>4</v>
      </c>
    </row>
    <row r="67" spans="1:8">
      <c r="A67" s="93" t="s">
        <v>1118</v>
      </c>
      <c r="B67" s="94" t="s">
        <v>1105</v>
      </c>
      <c r="C67" s="95" t="s">
        <v>1093</v>
      </c>
      <c r="D67" s="95">
        <v>43558</v>
      </c>
      <c r="E67" s="96">
        <v>43560</v>
      </c>
      <c r="F67" s="95">
        <v>43555</v>
      </c>
      <c r="G67" s="95">
        <v>43561</v>
      </c>
      <c r="H67" s="92">
        <v>3</v>
      </c>
    </row>
    <row r="68" spans="1:8">
      <c r="A68" s="93" t="s">
        <v>1119</v>
      </c>
      <c r="B68" s="94" t="s">
        <v>1097</v>
      </c>
      <c r="C68" s="95" t="s">
        <v>1093</v>
      </c>
      <c r="D68" s="95">
        <v>43560</v>
      </c>
      <c r="E68" s="96">
        <v>43564</v>
      </c>
      <c r="F68" s="95">
        <v>43555</v>
      </c>
      <c r="G68" s="95">
        <v>43561</v>
      </c>
      <c r="H68" s="92">
        <v>1</v>
      </c>
    </row>
    <row r="69" spans="1:8">
      <c r="A69" s="93" t="s">
        <v>1119</v>
      </c>
      <c r="B69" s="94" t="s">
        <v>1097</v>
      </c>
      <c r="C69" s="95" t="s">
        <v>1093</v>
      </c>
      <c r="D69" s="95">
        <v>43560</v>
      </c>
      <c r="E69" s="96">
        <v>43564</v>
      </c>
      <c r="F69" s="95">
        <v>43562</v>
      </c>
      <c r="G69" s="95">
        <v>43568</v>
      </c>
      <c r="H69" s="92">
        <v>2</v>
      </c>
    </row>
    <row r="70" spans="1:8">
      <c r="A70" s="93" t="s">
        <v>1120</v>
      </c>
      <c r="B70" s="94" t="s">
        <v>1124</v>
      </c>
      <c r="C70" s="95" t="s">
        <v>1093</v>
      </c>
      <c r="D70" s="95">
        <v>43560</v>
      </c>
      <c r="E70" s="96">
        <v>43563</v>
      </c>
      <c r="F70" s="95">
        <v>43555</v>
      </c>
      <c r="G70" s="95">
        <v>43561</v>
      </c>
      <c r="H70" s="92">
        <v>0.5</v>
      </c>
    </row>
    <row r="71" spans="1:8">
      <c r="A71" s="93" t="s">
        <v>1120</v>
      </c>
      <c r="B71" s="94" t="s">
        <v>1124</v>
      </c>
      <c r="C71" s="95" t="s">
        <v>1094</v>
      </c>
      <c r="D71" s="95">
        <v>43560</v>
      </c>
      <c r="E71" s="96">
        <v>43563</v>
      </c>
      <c r="F71" s="95">
        <v>43555</v>
      </c>
      <c r="G71" s="95">
        <v>43561</v>
      </c>
      <c r="H71" s="92">
        <v>0.5</v>
      </c>
    </row>
    <row r="72" spans="1:8">
      <c r="A72" s="93" t="s">
        <v>1120</v>
      </c>
      <c r="B72" s="94" t="s">
        <v>1124</v>
      </c>
      <c r="C72" s="95" t="s">
        <v>1093</v>
      </c>
      <c r="D72" s="95">
        <v>43560</v>
      </c>
      <c r="E72" s="96">
        <v>43563</v>
      </c>
      <c r="F72" s="95">
        <v>43562</v>
      </c>
      <c r="G72" s="95">
        <v>43568</v>
      </c>
      <c r="H72" s="92">
        <v>0.5</v>
      </c>
    </row>
    <row r="73" spans="1:8">
      <c r="A73" s="93" t="s">
        <v>1120</v>
      </c>
      <c r="B73" s="94" t="s">
        <v>1124</v>
      </c>
      <c r="C73" s="95" t="s">
        <v>1094</v>
      </c>
      <c r="D73" s="95">
        <v>43560</v>
      </c>
      <c r="E73" s="96">
        <v>43563</v>
      </c>
      <c r="F73" s="95">
        <v>43562</v>
      </c>
      <c r="G73" s="95">
        <v>43568</v>
      </c>
      <c r="H73" s="92">
        <v>0.5</v>
      </c>
    </row>
    <row r="74" spans="1:8">
      <c r="A74" s="93" t="s">
        <v>1121</v>
      </c>
      <c r="B74" s="94" t="s">
        <v>1107</v>
      </c>
      <c r="C74" s="95" t="s">
        <v>1094</v>
      </c>
      <c r="D74" s="95">
        <v>43564</v>
      </c>
      <c r="E74" s="96">
        <v>43565</v>
      </c>
      <c r="F74" s="95">
        <v>43562</v>
      </c>
      <c r="G74" s="95">
        <v>43568</v>
      </c>
      <c r="H74" s="92">
        <v>1</v>
      </c>
    </row>
    <row r="75" spans="1:8">
      <c r="A75" s="93" t="s">
        <v>1121</v>
      </c>
      <c r="B75" s="94" t="s">
        <v>1107</v>
      </c>
      <c r="C75" s="95" t="s">
        <v>1093</v>
      </c>
      <c r="D75" s="95">
        <v>43564</v>
      </c>
      <c r="E75" s="96">
        <v>43565</v>
      </c>
      <c r="F75" s="95">
        <v>43562</v>
      </c>
      <c r="G75" s="95">
        <v>43568</v>
      </c>
      <c r="H75" s="92">
        <v>1</v>
      </c>
    </row>
    <row r="76" spans="1:8">
      <c r="A76" s="93" t="s">
        <v>1135</v>
      </c>
      <c r="B76" s="94" t="s">
        <v>1067</v>
      </c>
      <c r="C76" s="95" t="s">
        <v>1087</v>
      </c>
      <c r="D76" s="95">
        <v>43542</v>
      </c>
      <c r="E76" s="96">
        <v>43544</v>
      </c>
      <c r="F76" s="95">
        <v>43541</v>
      </c>
      <c r="G76" s="95">
        <v>43547</v>
      </c>
      <c r="H76" s="92">
        <v>1.5</v>
      </c>
    </row>
    <row r="77" spans="1:8">
      <c r="A77" s="93" t="s">
        <v>1135</v>
      </c>
      <c r="B77" s="94" t="s">
        <v>1067</v>
      </c>
      <c r="C77" s="95" t="s">
        <v>1155</v>
      </c>
      <c r="D77" s="95">
        <v>43542</v>
      </c>
      <c r="E77" s="96">
        <v>43544</v>
      </c>
      <c r="F77" s="95">
        <v>43541</v>
      </c>
      <c r="G77" s="95">
        <v>43547</v>
      </c>
      <c r="H77" s="92">
        <v>1.5</v>
      </c>
    </row>
    <row r="78" spans="1:8">
      <c r="A78" s="93" t="s">
        <v>1136</v>
      </c>
      <c r="B78" s="94" t="s">
        <v>1068</v>
      </c>
      <c r="C78" s="95" t="s">
        <v>1156</v>
      </c>
      <c r="D78" s="95">
        <v>43542</v>
      </c>
      <c r="E78" s="96">
        <v>43544</v>
      </c>
      <c r="F78" s="95">
        <v>43541</v>
      </c>
      <c r="G78" s="95">
        <v>43547</v>
      </c>
      <c r="H78" s="92">
        <v>1.5</v>
      </c>
    </row>
    <row r="79" spans="1:8">
      <c r="A79" s="93" t="s">
        <v>1136</v>
      </c>
      <c r="B79" s="94" t="s">
        <v>1068</v>
      </c>
      <c r="C79" s="95" t="s">
        <v>1155</v>
      </c>
      <c r="D79" s="95">
        <v>43542</v>
      </c>
      <c r="E79" s="96">
        <v>43544</v>
      </c>
      <c r="F79" s="95">
        <v>43541</v>
      </c>
      <c r="G79" s="95">
        <v>43547</v>
      </c>
      <c r="H79" s="92">
        <v>1.5</v>
      </c>
    </row>
    <row r="80" spans="1:8">
      <c r="A80" s="93" t="s">
        <v>1137</v>
      </c>
      <c r="B80" s="94" t="s">
        <v>1127</v>
      </c>
      <c r="C80" s="95" t="s">
        <v>1155</v>
      </c>
      <c r="D80" s="95">
        <v>43544</v>
      </c>
      <c r="E80" s="96">
        <v>43545</v>
      </c>
      <c r="F80" s="95">
        <v>43541</v>
      </c>
      <c r="G80" s="95">
        <v>43547</v>
      </c>
      <c r="H80" s="92">
        <v>2</v>
      </c>
    </row>
    <row r="81" spans="1:8">
      <c r="A81" s="93" t="s">
        <v>1138</v>
      </c>
      <c r="B81" s="94" t="s">
        <v>1125</v>
      </c>
      <c r="C81" s="95" t="s">
        <v>1155</v>
      </c>
      <c r="D81" s="95">
        <v>43545</v>
      </c>
      <c r="E81" s="96">
        <v>43549</v>
      </c>
      <c r="F81" s="95">
        <v>43541</v>
      </c>
      <c r="G81" s="95">
        <v>43547</v>
      </c>
      <c r="H81" s="92">
        <v>2</v>
      </c>
    </row>
    <row r="82" spans="1:8">
      <c r="A82" s="93" t="s">
        <v>1138</v>
      </c>
      <c r="B82" s="94" t="s">
        <v>1125</v>
      </c>
      <c r="C82" s="95" t="s">
        <v>1155</v>
      </c>
      <c r="D82" s="95">
        <v>43545</v>
      </c>
      <c r="E82" s="96">
        <v>43549</v>
      </c>
      <c r="F82" s="95">
        <v>43548</v>
      </c>
      <c r="G82" s="95">
        <v>43554</v>
      </c>
      <c r="H82" s="92">
        <v>1</v>
      </c>
    </row>
    <row r="83" spans="1:8">
      <c r="A83" s="93" t="s">
        <v>1139</v>
      </c>
      <c r="B83" s="94" t="s">
        <v>1150</v>
      </c>
      <c r="C83" s="95" t="s">
        <v>1156</v>
      </c>
      <c r="D83" s="95">
        <v>43544</v>
      </c>
      <c r="E83" s="96">
        <v>43546</v>
      </c>
      <c r="F83" s="95">
        <v>43541</v>
      </c>
      <c r="G83" s="95">
        <v>43547</v>
      </c>
      <c r="H83" s="92">
        <v>1.5</v>
      </c>
    </row>
    <row r="84" spans="1:8">
      <c r="A84" s="93" t="s">
        <v>1139</v>
      </c>
      <c r="B84" s="94" t="s">
        <v>1150</v>
      </c>
      <c r="C84" s="95" t="s">
        <v>1087</v>
      </c>
      <c r="D84" s="95">
        <v>43544</v>
      </c>
      <c r="E84" s="96">
        <v>43546</v>
      </c>
      <c r="F84" s="95">
        <v>43541</v>
      </c>
      <c r="G84" s="95">
        <v>43547</v>
      </c>
      <c r="H84" s="92">
        <v>1.5</v>
      </c>
    </row>
    <row r="85" spans="1:8">
      <c r="A85" s="93" t="s">
        <v>1140</v>
      </c>
      <c r="B85" s="94" t="s">
        <v>1128</v>
      </c>
      <c r="C85" s="95" t="s">
        <v>1156</v>
      </c>
      <c r="D85" s="95">
        <v>43549</v>
      </c>
      <c r="E85" s="96">
        <v>43552</v>
      </c>
      <c r="F85" s="95">
        <v>43548</v>
      </c>
      <c r="G85" s="95">
        <v>43554</v>
      </c>
      <c r="H85" s="92">
        <v>2</v>
      </c>
    </row>
    <row r="86" spans="1:8">
      <c r="A86" s="93" t="s">
        <v>1140</v>
      </c>
      <c r="B86" s="94" t="s">
        <v>1128</v>
      </c>
      <c r="C86" s="95" t="s">
        <v>1087</v>
      </c>
      <c r="D86" s="95">
        <v>43549</v>
      </c>
      <c r="E86" s="96">
        <v>43552</v>
      </c>
      <c r="F86" s="95">
        <v>43548</v>
      </c>
      <c r="G86" s="95">
        <v>43554</v>
      </c>
      <c r="H86" s="92">
        <v>2</v>
      </c>
    </row>
    <row r="87" spans="1:8">
      <c r="A87" s="93" t="s">
        <v>1141</v>
      </c>
      <c r="B87" s="94" t="s">
        <v>1129</v>
      </c>
      <c r="C87" s="95" t="s">
        <v>1156</v>
      </c>
      <c r="D87" s="95">
        <v>43552</v>
      </c>
      <c r="E87" s="96">
        <v>43556</v>
      </c>
      <c r="F87" s="95">
        <v>43548</v>
      </c>
      <c r="G87" s="95">
        <v>43554</v>
      </c>
      <c r="H87" s="92">
        <v>1</v>
      </c>
    </row>
    <row r="88" spans="1:8">
      <c r="A88" s="93" t="s">
        <v>1141</v>
      </c>
      <c r="B88" s="94" t="s">
        <v>1129</v>
      </c>
      <c r="C88" s="95" t="s">
        <v>1087</v>
      </c>
      <c r="D88" s="95">
        <v>43552</v>
      </c>
      <c r="E88" s="96">
        <v>43556</v>
      </c>
      <c r="F88" s="95">
        <v>43548</v>
      </c>
      <c r="G88" s="95">
        <v>43554</v>
      </c>
      <c r="H88" s="92">
        <v>1</v>
      </c>
    </row>
    <row r="89" spans="1:8">
      <c r="A89" s="93" t="s">
        <v>1141</v>
      </c>
      <c r="B89" s="94" t="s">
        <v>1129</v>
      </c>
      <c r="C89" s="95" t="s">
        <v>1156</v>
      </c>
      <c r="D89" s="95">
        <v>43552</v>
      </c>
      <c r="E89" s="96">
        <v>43556</v>
      </c>
      <c r="F89" s="95">
        <v>43555</v>
      </c>
      <c r="G89" s="95">
        <v>43561</v>
      </c>
      <c r="H89" s="92">
        <v>0.5</v>
      </c>
    </row>
    <row r="90" spans="1:8">
      <c r="A90" s="93" t="s">
        <v>1141</v>
      </c>
      <c r="B90" s="94" t="s">
        <v>1129</v>
      </c>
      <c r="C90" s="95" t="s">
        <v>1087</v>
      </c>
      <c r="D90" s="95">
        <v>43552</v>
      </c>
      <c r="E90" s="96">
        <v>43556</v>
      </c>
      <c r="F90" s="95">
        <v>43555</v>
      </c>
      <c r="G90" s="95">
        <v>43561</v>
      </c>
      <c r="H90" s="92">
        <v>0.5</v>
      </c>
    </row>
    <row r="91" spans="1:8">
      <c r="A91" s="93" t="s">
        <v>1142</v>
      </c>
      <c r="B91" s="94" t="s">
        <v>1130</v>
      </c>
      <c r="C91" s="95" t="s">
        <v>1156</v>
      </c>
      <c r="D91" s="95">
        <v>43524</v>
      </c>
      <c r="E91" s="96">
        <v>43556</v>
      </c>
      <c r="F91" s="95">
        <v>43521</v>
      </c>
      <c r="G91" s="95">
        <v>43526</v>
      </c>
      <c r="H91" s="92">
        <v>1</v>
      </c>
    </row>
    <row r="92" spans="1:8">
      <c r="A92" s="93" t="s">
        <v>1142</v>
      </c>
      <c r="B92" s="94" t="s">
        <v>1130</v>
      </c>
      <c r="C92" s="95" t="s">
        <v>1156</v>
      </c>
      <c r="D92" s="95">
        <v>43524</v>
      </c>
      <c r="E92" s="96">
        <v>43556</v>
      </c>
      <c r="F92" s="95">
        <v>43527</v>
      </c>
      <c r="G92" s="95">
        <v>43533</v>
      </c>
      <c r="H92" s="92">
        <v>5</v>
      </c>
    </row>
    <row r="93" spans="1:8">
      <c r="A93" s="93" t="s">
        <v>1142</v>
      </c>
      <c r="B93" s="94" t="s">
        <v>1130</v>
      </c>
      <c r="C93" s="95" t="s">
        <v>1156</v>
      </c>
      <c r="D93" s="95">
        <v>43524</v>
      </c>
      <c r="E93" s="96">
        <v>43556</v>
      </c>
      <c r="F93" s="95">
        <v>43534</v>
      </c>
      <c r="G93" s="95">
        <v>43540</v>
      </c>
      <c r="H93" s="92">
        <v>5</v>
      </c>
    </row>
    <row r="94" spans="1:8">
      <c r="A94" s="93" t="s">
        <v>1142</v>
      </c>
      <c r="B94" s="94" t="s">
        <v>1130</v>
      </c>
      <c r="C94" s="95" t="s">
        <v>1156</v>
      </c>
      <c r="D94" s="95">
        <v>43524</v>
      </c>
      <c r="E94" s="96">
        <v>43556</v>
      </c>
      <c r="F94" s="95">
        <v>43541</v>
      </c>
      <c r="G94" s="95">
        <v>43547</v>
      </c>
      <c r="H94" s="92">
        <v>5</v>
      </c>
    </row>
    <row r="95" spans="1:8">
      <c r="A95" s="93" t="s">
        <v>1142</v>
      </c>
      <c r="B95" s="94" t="s">
        <v>1130</v>
      </c>
      <c r="C95" s="95" t="s">
        <v>1156</v>
      </c>
      <c r="D95" s="95">
        <v>43524</v>
      </c>
      <c r="E95" s="96">
        <v>43556</v>
      </c>
      <c r="F95" s="95">
        <v>43548</v>
      </c>
      <c r="G95" s="95">
        <v>43554</v>
      </c>
      <c r="H95" s="92">
        <v>5</v>
      </c>
    </row>
    <row r="96" spans="1:8">
      <c r="A96" s="93" t="s">
        <v>1142</v>
      </c>
      <c r="B96" s="94" t="s">
        <v>1130</v>
      </c>
      <c r="C96" s="95" t="s">
        <v>1156</v>
      </c>
      <c r="D96" s="95">
        <v>43524</v>
      </c>
      <c r="E96" s="96">
        <v>43556</v>
      </c>
      <c r="F96" s="95">
        <v>43555</v>
      </c>
      <c r="G96" s="95">
        <v>43561</v>
      </c>
      <c r="H96" s="92">
        <v>1</v>
      </c>
    </row>
    <row r="97" spans="1:8">
      <c r="A97" s="93" t="s">
        <v>1143</v>
      </c>
      <c r="B97" s="94" t="s">
        <v>1131</v>
      </c>
      <c r="C97" s="95" t="s">
        <v>1155</v>
      </c>
      <c r="D97" s="95">
        <v>43556</v>
      </c>
      <c r="E97" s="96">
        <v>43559</v>
      </c>
      <c r="F97" s="95">
        <v>43555</v>
      </c>
      <c r="G97" s="95">
        <v>43561</v>
      </c>
      <c r="H97" s="92">
        <v>4</v>
      </c>
    </row>
    <row r="98" spans="1:8">
      <c r="A98" s="93" t="s">
        <v>1144</v>
      </c>
      <c r="B98" s="94" t="s">
        <v>1151</v>
      </c>
      <c r="C98" s="95" t="s">
        <v>1087</v>
      </c>
      <c r="D98" s="95">
        <v>43535</v>
      </c>
      <c r="E98" s="96">
        <v>43560</v>
      </c>
      <c r="F98" s="95">
        <v>43534</v>
      </c>
      <c r="G98" s="95">
        <v>43540</v>
      </c>
      <c r="H98" s="92">
        <v>5</v>
      </c>
    </row>
    <row r="99" spans="1:8">
      <c r="A99" s="93" t="s">
        <v>1144</v>
      </c>
      <c r="B99" s="94" t="s">
        <v>1151</v>
      </c>
      <c r="C99" s="95" t="s">
        <v>1087</v>
      </c>
      <c r="D99" s="95">
        <v>43535</v>
      </c>
      <c r="E99" s="96">
        <v>43560</v>
      </c>
      <c r="F99" s="95">
        <v>43541</v>
      </c>
      <c r="G99" s="95">
        <v>43547</v>
      </c>
      <c r="H99" s="92">
        <v>5</v>
      </c>
    </row>
    <row r="100" spans="1:8">
      <c r="A100" s="93" t="s">
        <v>1144</v>
      </c>
      <c r="B100" s="94" t="s">
        <v>1151</v>
      </c>
      <c r="C100" s="95" t="s">
        <v>1087</v>
      </c>
      <c r="D100" s="95">
        <v>43535</v>
      </c>
      <c r="E100" s="96">
        <v>43560</v>
      </c>
      <c r="F100" s="95">
        <v>43548</v>
      </c>
      <c r="G100" s="95">
        <v>43554</v>
      </c>
      <c r="H100" s="92">
        <v>5</v>
      </c>
    </row>
    <row r="101" spans="1:8">
      <c r="A101" s="93" t="s">
        <v>1144</v>
      </c>
      <c r="B101" s="94" t="s">
        <v>1151</v>
      </c>
      <c r="C101" s="95" t="s">
        <v>1087</v>
      </c>
      <c r="D101" s="95">
        <v>43535</v>
      </c>
      <c r="E101" s="96">
        <v>43560</v>
      </c>
      <c r="F101" s="95">
        <v>43555</v>
      </c>
      <c r="G101" s="95">
        <v>43561</v>
      </c>
      <c r="H101" s="92">
        <v>5</v>
      </c>
    </row>
    <row r="102" spans="1:8">
      <c r="A102" s="93" t="s">
        <v>1145</v>
      </c>
      <c r="B102" s="94" t="s">
        <v>1123</v>
      </c>
      <c r="C102" s="95" t="s">
        <v>1155</v>
      </c>
      <c r="D102" s="95">
        <v>43559</v>
      </c>
      <c r="E102" s="96">
        <v>43560</v>
      </c>
      <c r="F102" s="95">
        <v>43555</v>
      </c>
      <c r="G102" s="95">
        <v>43561</v>
      </c>
      <c r="H102" s="92">
        <v>2</v>
      </c>
    </row>
    <row r="103" spans="1:8">
      <c r="A103" s="93" t="s">
        <v>1146</v>
      </c>
      <c r="B103" s="94" t="s">
        <v>1106</v>
      </c>
      <c r="C103" s="95" t="s">
        <v>1156</v>
      </c>
      <c r="D103" s="95">
        <v>43560</v>
      </c>
      <c r="E103" s="96">
        <v>43564</v>
      </c>
      <c r="F103" s="95">
        <v>43555</v>
      </c>
      <c r="G103" s="95">
        <v>43561</v>
      </c>
      <c r="H103" s="92">
        <v>1</v>
      </c>
    </row>
    <row r="104" spans="1:8">
      <c r="A104" s="93" t="s">
        <v>1146</v>
      </c>
      <c r="B104" s="94" t="s">
        <v>1106</v>
      </c>
      <c r="C104" s="95" t="s">
        <v>1156</v>
      </c>
      <c r="D104" s="95">
        <v>43560</v>
      </c>
      <c r="E104" s="96">
        <v>43564</v>
      </c>
      <c r="F104" s="95">
        <v>43562</v>
      </c>
      <c r="G104" s="95">
        <v>43568</v>
      </c>
      <c r="H104" s="92">
        <v>2</v>
      </c>
    </row>
    <row r="105" spans="1:8">
      <c r="A105" s="93" t="s">
        <v>1147</v>
      </c>
      <c r="B105" s="94" t="s">
        <v>1105</v>
      </c>
      <c r="C105" s="95" t="s">
        <v>1155</v>
      </c>
      <c r="D105" s="95">
        <v>43558</v>
      </c>
      <c r="E105" s="96">
        <v>43560</v>
      </c>
      <c r="F105" s="95">
        <v>43555</v>
      </c>
      <c r="G105" s="95">
        <v>43561</v>
      </c>
      <c r="H105" s="92">
        <v>3</v>
      </c>
    </row>
    <row r="106" spans="1:8">
      <c r="A106" s="93" t="s">
        <v>1148</v>
      </c>
      <c r="B106" s="94" t="s">
        <v>1124</v>
      </c>
      <c r="C106" s="95" t="s">
        <v>1155</v>
      </c>
      <c r="D106" s="95">
        <v>43560</v>
      </c>
      <c r="E106" s="96">
        <v>43563</v>
      </c>
      <c r="F106" s="95">
        <v>43555</v>
      </c>
      <c r="G106" s="95">
        <v>43561</v>
      </c>
      <c r="H106" s="92">
        <v>1</v>
      </c>
    </row>
    <row r="107" spans="1:8">
      <c r="A107" s="93" t="s">
        <v>1148</v>
      </c>
      <c r="B107" s="94" t="s">
        <v>1124</v>
      </c>
      <c r="C107" s="95" t="s">
        <v>1155</v>
      </c>
      <c r="D107" s="95">
        <v>43560</v>
      </c>
      <c r="E107" s="96">
        <v>43563</v>
      </c>
      <c r="F107" s="95">
        <v>43562</v>
      </c>
      <c r="G107" s="95">
        <v>43568</v>
      </c>
      <c r="H107" s="92">
        <v>1</v>
      </c>
    </row>
    <row r="108" spans="1:8">
      <c r="A108" s="93" t="s">
        <v>1159</v>
      </c>
      <c r="B108" s="94" t="s">
        <v>1107</v>
      </c>
      <c r="C108" s="95" t="s">
        <v>1155</v>
      </c>
      <c r="D108" s="95">
        <v>43564</v>
      </c>
      <c r="E108" s="96">
        <v>43565</v>
      </c>
      <c r="F108" s="95">
        <v>43562</v>
      </c>
      <c r="G108" s="95">
        <v>43568</v>
      </c>
      <c r="H108" s="92">
        <v>1</v>
      </c>
    </row>
    <row r="109" spans="1:8">
      <c r="A109" s="93" t="s">
        <v>1159</v>
      </c>
      <c r="B109" s="94" t="s">
        <v>1107</v>
      </c>
      <c r="C109" s="95" t="s">
        <v>1156</v>
      </c>
      <c r="D109" s="95">
        <v>43564</v>
      </c>
      <c r="E109" s="96">
        <v>43565</v>
      </c>
      <c r="F109" s="95">
        <v>43562</v>
      </c>
      <c r="G109" s="95">
        <v>43568</v>
      </c>
      <c r="H109" s="92">
        <v>1</v>
      </c>
    </row>
    <row r="110" spans="1:8">
      <c r="A110" s="93" t="s">
        <v>1081</v>
      </c>
      <c r="B110" s="94" t="s">
        <v>1149</v>
      </c>
      <c r="C110" s="95" t="s">
        <v>1153</v>
      </c>
      <c r="D110" s="95">
        <v>43552</v>
      </c>
      <c r="E110" s="96">
        <v>43557</v>
      </c>
      <c r="F110" s="95">
        <v>43548</v>
      </c>
      <c r="G110" s="95">
        <v>43554</v>
      </c>
      <c r="H110" s="92">
        <v>2</v>
      </c>
    </row>
    <row r="111" spans="1:8">
      <c r="A111" s="93" t="s">
        <v>1081</v>
      </c>
      <c r="B111" s="94" t="s">
        <v>1149</v>
      </c>
      <c r="C111" s="95" t="s">
        <v>1153</v>
      </c>
      <c r="D111" s="95">
        <v>43552</v>
      </c>
      <c r="E111" s="96">
        <v>43557</v>
      </c>
      <c r="F111" s="95">
        <v>43555</v>
      </c>
      <c r="G111" s="95">
        <v>43561</v>
      </c>
      <c r="H111" s="92">
        <v>2</v>
      </c>
    </row>
    <row r="112" spans="1:8">
      <c r="A112" s="93" t="s">
        <v>1082</v>
      </c>
      <c r="B112" s="94" t="s">
        <v>1070</v>
      </c>
      <c r="C112" s="95" t="s">
        <v>1153</v>
      </c>
      <c r="D112" s="95">
        <v>43565</v>
      </c>
      <c r="E112" s="96">
        <v>43579</v>
      </c>
      <c r="F112" s="95">
        <v>43562</v>
      </c>
      <c r="G112" s="95">
        <v>43568</v>
      </c>
      <c r="H112" s="92">
        <v>3</v>
      </c>
    </row>
    <row r="113" spans="1:8">
      <c r="A113" s="93" t="s">
        <v>1082</v>
      </c>
      <c r="B113" s="94" t="s">
        <v>1070</v>
      </c>
      <c r="C113" s="95" t="s">
        <v>1153</v>
      </c>
      <c r="D113" s="95">
        <v>43565</v>
      </c>
      <c r="E113" s="96">
        <v>43579</v>
      </c>
      <c r="F113" s="95">
        <v>43569</v>
      </c>
      <c r="G113" s="95">
        <v>43575</v>
      </c>
      <c r="H113" s="92">
        <v>5</v>
      </c>
    </row>
    <row r="114" spans="1:8">
      <c r="A114" s="93" t="s">
        <v>1082</v>
      </c>
      <c r="B114" s="94" t="s">
        <v>1070</v>
      </c>
      <c r="C114" s="95" t="s">
        <v>1153</v>
      </c>
      <c r="D114" s="95">
        <v>43565</v>
      </c>
      <c r="E114" s="96">
        <v>43579</v>
      </c>
      <c r="F114" s="95">
        <v>43576</v>
      </c>
      <c r="G114" s="95">
        <v>43582</v>
      </c>
      <c r="H114" s="92">
        <v>3</v>
      </c>
    </row>
    <row r="115" spans="1:8">
      <c r="A115" s="93" t="s">
        <v>1152</v>
      </c>
      <c r="B115" s="94" t="s">
        <v>1071</v>
      </c>
      <c r="C115" s="95" t="s">
        <v>1153</v>
      </c>
      <c r="D115" s="95">
        <v>43601</v>
      </c>
      <c r="E115" s="96">
        <v>43623</v>
      </c>
      <c r="F115" s="95">
        <v>43597</v>
      </c>
      <c r="G115" s="95">
        <v>43603</v>
      </c>
      <c r="H115" s="92">
        <v>2</v>
      </c>
    </row>
    <row r="116" spans="1:8">
      <c r="A116" s="93" t="s">
        <v>1152</v>
      </c>
      <c r="B116" s="94" t="s">
        <v>1071</v>
      </c>
      <c r="C116" s="95" t="s">
        <v>1153</v>
      </c>
      <c r="D116" s="95">
        <v>43601</v>
      </c>
      <c r="E116" s="96">
        <v>43623</v>
      </c>
      <c r="F116" s="95">
        <v>43604</v>
      </c>
      <c r="G116" s="95">
        <v>43610</v>
      </c>
      <c r="H116" s="92">
        <v>5</v>
      </c>
    </row>
    <row r="117" spans="1:8">
      <c r="A117" s="93" t="s">
        <v>1152</v>
      </c>
      <c r="B117" s="94" t="s">
        <v>1071</v>
      </c>
      <c r="C117" s="95" t="s">
        <v>1153</v>
      </c>
      <c r="D117" s="95">
        <v>43601</v>
      </c>
      <c r="E117" s="96">
        <v>43623</v>
      </c>
      <c r="F117" s="95">
        <v>43611</v>
      </c>
      <c r="G117" s="95">
        <v>43617</v>
      </c>
      <c r="H117" s="92">
        <v>5</v>
      </c>
    </row>
    <row r="118" spans="1:8">
      <c r="A118" s="93" t="s">
        <v>1152</v>
      </c>
      <c r="B118" s="94" t="s">
        <v>1071</v>
      </c>
      <c r="C118" s="95" t="s">
        <v>1153</v>
      </c>
      <c r="D118" s="95">
        <v>43601</v>
      </c>
      <c r="E118" s="96">
        <v>43623</v>
      </c>
      <c r="F118" s="95">
        <v>43618</v>
      </c>
      <c r="G118" s="95">
        <v>43624</v>
      </c>
      <c r="H118" s="92">
        <v>4</v>
      </c>
    </row>
    <row r="119" spans="1:8">
      <c r="A119" s="93" t="s">
        <v>1059</v>
      </c>
      <c r="B119" s="94" t="s">
        <v>1054</v>
      </c>
      <c r="C119" s="95" t="s">
        <v>1153</v>
      </c>
      <c r="D119" s="95">
        <v>43581</v>
      </c>
      <c r="E119" s="96">
        <v>43592</v>
      </c>
      <c r="F119" s="95">
        <v>43576</v>
      </c>
      <c r="G119" s="95">
        <v>43582</v>
      </c>
      <c r="H119" s="92">
        <v>1</v>
      </c>
    </row>
    <row r="120" spans="1:8">
      <c r="A120" s="93" t="s">
        <v>1059</v>
      </c>
      <c r="B120" s="94" t="s">
        <v>1054</v>
      </c>
      <c r="C120" s="95" t="s">
        <v>1153</v>
      </c>
      <c r="D120" s="95">
        <v>43581</v>
      </c>
      <c r="E120" s="96">
        <v>43592</v>
      </c>
      <c r="F120" s="95">
        <v>43583</v>
      </c>
      <c r="G120" s="95">
        <v>43589</v>
      </c>
      <c r="H120" s="92">
        <v>5</v>
      </c>
    </row>
    <row r="121" spans="1:8">
      <c r="A121" s="93" t="s">
        <v>1059</v>
      </c>
      <c r="B121" s="94" t="s">
        <v>1054</v>
      </c>
      <c r="C121" s="95" t="s">
        <v>1153</v>
      </c>
      <c r="D121" s="95">
        <v>43581</v>
      </c>
      <c r="E121" s="96">
        <v>43592</v>
      </c>
      <c r="F121" s="95">
        <v>43590</v>
      </c>
      <c r="G121" s="95">
        <v>43596</v>
      </c>
      <c r="H121" s="92">
        <v>1</v>
      </c>
    </row>
    <row r="122" spans="1:8">
      <c r="A122" s="93" t="s">
        <v>1060</v>
      </c>
      <c r="B122" s="94" t="s">
        <v>1055</v>
      </c>
      <c r="C122" s="95" t="s">
        <v>1153</v>
      </c>
      <c r="D122" s="95">
        <v>43592</v>
      </c>
      <c r="E122" s="96">
        <v>43598</v>
      </c>
      <c r="F122" s="95">
        <v>43590</v>
      </c>
      <c r="G122" s="95">
        <v>43596</v>
      </c>
      <c r="H122" s="92">
        <v>4</v>
      </c>
    </row>
    <row r="123" spans="1:8">
      <c r="A123" s="93" t="s">
        <v>1060</v>
      </c>
      <c r="B123" s="94" t="s">
        <v>1055</v>
      </c>
      <c r="C123" s="95" t="s">
        <v>1153</v>
      </c>
      <c r="D123" s="95">
        <v>43592</v>
      </c>
      <c r="E123" s="96">
        <v>43598</v>
      </c>
      <c r="F123" s="95">
        <v>43597</v>
      </c>
      <c r="G123" s="95">
        <v>43603</v>
      </c>
      <c r="H123" s="92">
        <v>1</v>
      </c>
    </row>
    <row r="124" spans="1:8">
      <c r="A124" s="93" t="s">
        <v>1062</v>
      </c>
      <c r="B124" s="94" t="s">
        <v>1054</v>
      </c>
      <c r="C124" s="95" t="s">
        <v>1153</v>
      </c>
      <c r="D124" s="95">
        <v>43616</v>
      </c>
      <c r="E124" s="96">
        <v>43626</v>
      </c>
      <c r="F124" s="95">
        <v>43611</v>
      </c>
      <c r="G124" s="95">
        <v>43617</v>
      </c>
      <c r="H124" s="92">
        <v>1</v>
      </c>
    </row>
    <row r="125" spans="1:8">
      <c r="A125" s="93" t="s">
        <v>1062</v>
      </c>
      <c r="B125" s="94" t="s">
        <v>1054</v>
      </c>
      <c r="C125" s="95" t="s">
        <v>1153</v>
      </c>
      <c r="D125" s="95">
        <v>43616</v>
      </c>
      <c r="E125" s="96">
        <v>43626</v>
      </c>
      <c r="F125" s="95">
        <v>43618</v>
      </c>
      <c r="G125" s="95">
        <v>43624</v>
      </c>
      <c r="H125" s="92">
        <v>4</v>
      </c>
    </row>
    <row r="126" spans="1:8">
      <c r="A126" s="93" t="s">
        <v>1062</v>
      </c>
      <c r="B126" s="94" t="s">
        <v>1054</v>
      </c>
      <c r="C126" s="95" t="s">
        <v>1153</v>
      </c>
      <c r="D126" s="95">
        <v>43616</v>
      </c>
      <c r="E126" s="96">
        <v>43626</v>
      </c>
      <c r="F126" s="95">
        <v>43625</v>
      </c>
      <c r="G126" s="95">
        <v>43631</v>
      </c>
      <c r="H126" s="92">
        <v>1</v>
      </c>
    </row>
    <row r="127" spans="1:8">
      <c r="A127" s="93" t="s">
        <v>1063</v>
      </c>
      <c r="B127" s="94" t="s">
        <v>1055</v>
      </c>
      <c r="C127" s="95" t="s">
        <v>1153</v>
      </c>
      <c r="D127" s="95">
        <v>43626</v>
      </c>
      <c r="E127" s="96">
        <v>43633</v>
      </c>
      <c r="F127" s="95">
        <v>43625</v>
      </c>
      <c r="G127" s="95">
        <v>43631</v>
      </c>
      <c r="H127" s="92">
        <v>5</v>
      </c>
    </row>
    <row r="128" spans="1:8">
      <c r="A128" s="93" t="s">
        <v>1063</v>
      </c>
      <c r="B128" s="94" t="s">
        <v>1055</v>
      </c>
      <c r="C128" s="95" t="s">
        <v>1153</v>
      </c>
      <c r="D128" s="95">
        <v>43626</v>
      </c>
      <c r="E128" s="96">
        <v>43633</v>
      </c>
      <c r="F128" s="95">
        <v>43632</v>
      </c>
      <c r="G128" s="95">
        <v>43638</v>
      </c>
      <c r="H128" s="92">
        <v>1</v>
      </c>
    </row>
    <row r="129" spans="1:8">
      <c r="A129" s="93">
        <v>3.3</v>
      </c>
      <c r="B129" s="94" t="s">
        <v>1085</v>
      </c>
      <c r="C129" s="95" t="s">
        <v>1153</v>
      </c>
      <c r="D129" s="95">
        <v>43636</v>
      </c>
      <c r="E129" s="96">
        <v>43637</v>
      </c>
      <c r="F129" s="95">
        <v>43632</v>
      </c>
      <c r="G129" s="95">
        <v>43638</v>
      </c>
      <c r="H129" s="92">
        <v>2</v>
      </c>
    </row>
    <row r="130" spans="1:8">
      <c r="G130" s="92" t="s">
        <v>3</v>
      </c>
      <c r="H130" s="92">
        <f>SUM(H2:H129)</f>
        <v>273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EQ146"/>
  <sheetViews>
    <sheetView tabSelected="1" zoomScale="85" zoomScaleNormal="85"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5" style="16" customWidth="1"/>
    <col min="29" max="147" width="1.8984375" style="114" customWidth="1"/>
    <col min="148" max="16384" width="10" style="114"/>
  </cols>
  <sheetData>
    <row r="1" spans="1:147" s="158" customFormat="1" ht="19.95" customHeight="1">
      <c r="A1" s="141"/>
      <c r="B1" s="151"/>
      <c r="C1" s="142"/>
      <c r="D1" s="143" t="str">
        <f ca="1">xlgantt.ProjectName()</f>
        <v>Go語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2019-02-25~2019-06-21 [계획:38.78% 실적:29.43%]</v>
      </c>
      <c r="AC1" s="243" t="s">
        <v>1198</v>
      </c>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row>
    <row r="2" spans="1:147" s="158" customFormat="1" ht="15" customHeight="1">
      <c r="A2" s="159"/>
      <c r="B2" s="159"/>
      <c r="C2" s="160"/>
      <c r="D2" s="254"/>
      <c r="E2" s="254"/>
      <c r="F2" s="254"/>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1199</v>
      </c>
    </row>
    <row r="3" spans="1:147" s="1" customFormat="1" ht="19.95" customHeight="1">
      <c r="A3" s="245" t="s">
        <v>1200</v>
      </c>
      <c r="B3" s="247" t="s">
        <v>1201</v>
      </c>
      <c r="C3" s="249" t="s">
        <v>1195</v>
      </c>
      <c r="D3" s="250" t="s">
        <v>1188</v>
      </c>
      <c r="E3" s="251" t="s">
        <v>1196</v>
      </c>
      <c r="F3" s="252"/>
      <c r="G3" s="252"/>
      <c r="H3" s="252"/>
      <c r="I3" s="252"/>
      <c r="J3" s="252"/>
      <c r="K3" s="253"/>
      <c r="L3" s="255" t="s">
        <v>1197</v>
      </c>
      <c r="M3" s="255" t="s">
        <v>1189</v>
      </c>
      <c r="N3" s="255" t="s">
        <v>1185</v>
      </c>
      <c r="O3" s="256" t="s">
        <v>1014</v>
      </c>
      <c r="P3" s="257" t="s">
        <v>1190</v>
      </c>
      <c r="Q3" s="257" t="s">
        <v>1202</v>
      </c>
      <c r="R3" s="257" t="s">
        <v>1191</v>
      </c>
      <c r="S3" s="257" t="s">
        <v>1186</v>
      </c>
      <c r="T3" s="259" t="s">
        <v>1083</v>
      </c>
      <c r="U3" s="259" t="s">
        <v>1192</v>
      </c>
      <c r="V3" s="260" t="s">
        <v>1193</v>
      </c>
      <c r="W3" s="261" t="s">
        <v>1181</v>
      </c>
      <c r="X3" s="262" t="s">
        <v>1203</v>
      </c>
      <c r="Y3" s="255" t="s">
        <v>1179</v>
      </c>
      <c r="Z3" s="247" t="s">
        <v>1084</v>
      </c>
      <c r="AA3" s="263" t="s">
        <v>1194</v>
      </c>
      <c r="AB3" s="258" t="s">
        <v>1182</v>
      </c>
      <c r="AC3" s="241">
        <v>43520</v>
      </c>
      <c r="AD3" s="242"/>
      <c r="AE3" s="242"/>
      <c r="AF3" s="242"/>
      <c r="AG3" s="242">
        <v>43548</v>
      </c>
      <c r="AH3" s="242"/>
      <c r="AI3" s="242"/>
      <c r="AJ3" s="242"/>
      <c r="AK3" s="242">
        <v>43576</v>
      </c>
      <c r="AL3" s="242"/>
      <c r="AM3" s="242"/>
      <c r="AN3" s="242"/>
      <c r="AO3" s="242">
        <v>43604</v>
      </c>
      <c r="AP3" s="242"/>
      <c r="AQ3" s="242"/>
      <c r="AR3" s="242"/>
      <c r="AS3" s="242">
        <v>43632</v>
      </c>
      <c r="AT3" s="242"/>
      <c r="AU3" s="242"/>
      <c r="AV3" s="244"/>
    </row>
    <row r="4" spans="1:147" s="2" customFormat="1" ht="4.95" customHeight="1">
      <c r="A4" s="246"/>
      <c r="B4" s="248"/>
      <c r="C4" s="245"/>
      <c r="D4" s="250"/>
      <c r="E4" s="251"/>
      <c r="F4" s="252"/>
      <c r="G4" s="252"/>
      <c r="H4" s="252"/>
      <c r="I4" s="252"/>
      <c r="J4" s="252"/>
      <c r="K4" s="253"/>
      <c r="L4" s="255"/>
      <c r="M4" s="255"/>
      <c r="N4" s="255"/>
      <c r="O4" s="256"/>
      <c r="P4" s="257"/>
      <c r="Q4" s="257"/>
      <c r="R4" s="257"/>
      <c r="S4" s="257"/>
      <c r="T4" s="255"/>
      <c r="U4" s="255"/>
      <c r="V4" s="260"/>
      <c r="W4" s="261"/>
      <c r="X4" s="262"/>
      <c r="Y4" s="255"/>
      <c r="Z4" s="247"/>
      <c r="AA4" s="263"/>
      <c r="AB4" s="258"/>
      <c r="AC4" s="112">
        <v>43520</v>
      </c>
      <c r="AD4" s="113">
        <v>43527</v>
      </c>
      <c r="AE4" s="113">
        <v>43534</v>
      </c>
      <c r="AF4" s="113">
        <v>43541</v>
      </c>
      <c r="AG4" s="113">
        <v>43548</v>
      </c>
      <c r="AH4" s="113">
        <v>43555</v>
      </c>
      <c r="AI4" s="113">
        <v>43562</v>
      </c>
      <c r="AJ4" s="113">
        <v>43569</v>
      </c>
      <c r="AK4" s="113">
        <v>43576</v>
      </c>
      <c r="AL4" s="113">
        <v>43583</v>
      </c>
      <c r="AM4" s="113">
        <v>43590</v>
      </c>
      <c r="AN4" s="113">
        <v>43597</v>
      </c>
      <c r="AO4" s="113">
        <v>43604</v>
      </c>
      <c r="AP4" s="113">
        <v>43611</v>
      </c>
      <c r="AQ4" s="113">
        <v>43618</v>
      </c>
      <c r="AR4" s="113">
        <v>43625</v>
      </c>
      <c r="AS4" s="113">
        <v>43632</v>
      </c>
      <c r="AT4" s="113"/>
      <c r="AU4" s="113"/>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row>
    <row r="5" spans="1:147">
      <c r="A5" s="116"/>
      <c r="B5" s="116" t="s">
        <v>967</v>
      </c>
      <c r="C5" s="116">
        <v>1</v>
      </c>
      <c r="D5" s="3" t="s">
        <v>968</v>
      </c>
      <c r="E5" s="184" t="s">
        <v>1035</v>
      </c>
      <c r="F5" s="184"/>
      <c r="G5" s="184"/>
      <c r="H5" s="184"/>
      <c r="I5" s="184"/>
      <c r="J5" s="184"/>
      <c r="K5" s="184"/>
      <c r="L5" s="184"/>
      <c r="M5" s="185">
        <v>43521</v>
      </c>
      <c r="N5" s="185">
        <v>43535</v>
      </c>
      <c r="O5" s="186"/>
      <c r="P5" s="187">
        <v>10</v>
      </c>
      <c r="Q5" s="187">
        <v>10</v>
      </c>
      <c r="R5" s="188">
        <v>10</v>
      </c>
      <c r="S5" s="188">
        <v>10</v>
      </c>
      <c r="T5" s="185"/>
      <c r="U5" s="185"/>
      <c r="V5" s="189">
        <v>0</v>
      </c>
      <c r="W5" s="190">
        <v>0</v>
      </c>
      <c r="X5" s="191"/>
      <c r="Y5" s="186"/>
      <c r="Z5" s="192"/>
      <c r="AA5" s="97">
        <v>1</v>
      </c>
      <c r="AB5" s="193">
        <v>1</v>
      </c>
      <c r="AC5" s="123"/>
      <c r="AD5" s="4"/>
      <c r="AE5" s="4" t="str">
        <f>"  " &amp; TEXT(AB5,"#0.00%") &amp; " " &amp; "프로젝트 기획" &amp; " " &amp; IF(M5="","",TEXT(M5,"M/D-")) &amp; IF(N5="","",TEXT(N5,"M/D")) &amp; " "</f>
        <v xml:space="preserve">  100.00% 프로젝트 기획 2/25-3/11 </v>
      </c>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row>
    <row r="6" spans="1:147" outlineLevel="1">
      <c r="A6" s="116"/>
      <c r="B6" s="116"/>
      <c r="C6" s="116">
        <v>2</v>
      </c>
      <c r="D6" s="3" t="s">
        <v>969</v>
      </c>
      <c r="E6" s="184"/>
      <c r="F6" s="209" t="s">
        <v>1065</v>
      </c>
      <c r="G6" s="184"/>
      <c r="H6" s="184"/>
      <c r="I6" s="184"/>
      <c r="J6" s="184"/>
      <c r="K6" s="184"/>
      <c r="L6" s="184"/>
      <c r="M6" s="185">
        <v>43521</v>
      </c>
      <c r="N6" s="185">
        <v>43535</v>
      </c>
      <c r="O6" s="186"/>
      <c r="P6" s="187">
        <v>10</v>
      </c>
      <c r="Q6" s="187">
        <v>10</v>
      </c>
      <c r="R6" s="188">
        <v>10</v>
      </c>
      <c r="S6" s="188">
        <v>10</v>
      </c>
      <c r="T6" s="185"/>
      <c r="U6" s="185"/>
      <c r="V6" s="189"/>
      <c r="W6" s="190">
        <v>0</v>
      </c>
      <c r="X6" s="191">
        <v>1</v>
      </c>
      <c r="Y6" s="186" t="s">
        <v>1153</v>
      </c>
      <c r="Z6" s="192"/>
      <c r="AA6" s="97">
        <v>1</v>
      </c>
      <c r="AB6" s="193">
        <v>1</v>
      </c>
      <c r="AC6" s="123"/>
      <c r="AD6" s="4"/>
      <c r="AE6" s="4" t="str">
        <f>"  " &amp; TEXT(AB6,"#0.00%") &amp; " " &amp; "아이디어 기획 및 조사" &amp; "(조원 전체)" &amp; " " &amp; IF(M6="","",TEXT(M6,"M/D-")) &amp; IF(N6="","",TEXT(N6,"M/D")) &amp; " "</f>
        <v xml:space="preserve">  100.00% 아이디어 기획 및 조사(조원 전체) 2/25-3/11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row>
    <row r="7" spans="1:147" outlineLevel="1">
      <c r="A7" s="116"/>
      <c r="B7" s="116"/>
      <c r="C7" s="116">
        <v>0</v>
      </c>
      <c r="D7" s="3"/>
      <c r="E7" s="184"/>
      <c r="F7" s="209"/>
      <c r="G7" s="184"/>
      <c r="H7" s="184"/>
      <c r="I7" s="184"/>
      <c r="J7" s="184"/>
      <c r="K7" s="184"/>
      <c r="L7" s="184"/>
      <c r="M7" s="185"/>
      <c r="N7" s="185"/>
      <c r="O7" s="186"/>
      <c r="P7" s="187"/>
      <c r="Q7" s="187"/>
      <c r="R7" s="188">
        <v>0</v>
      </c>
      <c r="S7" s="188">
        <v>0</v>
      </c>
      <c r="T7" s="185"/>
      <c r="U7" s="185"/>
      <c r="V7" s="189"/>
      <c r="W7" s="190">
        <v>0</v>
      </c>
      <c r="X7" s="191"/>
      <c r="Y7" s="186"/>
      <c r="Z7" s="192"/>
      <c r="AA7" s="97"/>
      <c r="AB7" s="193"/>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row>
    <row r="8" spans="1:147">
      <c r="A8" s="116"/>
      <c r="B8" s="116" t="s">
        <v>967</v>
      </c>
      <c r="C8" s="116">
        <v>1</v>
      </c>
      <c r="D8" s="3" t="s">
        <v>970</v>
      </c>
      <c r="E8" s="184" t="s">
        <v>959</v>
      </c>
      <c r="F8" s="184"/>
      <c r="G8" s="184"/>
      <c r="H8" s="184"/>
      <c r="I8" s="184"/>
      <c r="J8" s="184"/>
      <c r="K8" s="184"/>
      <c r="L8" s="184"/>
      <c r="M8" s="185">
        <v>43528</v>
      </c>
      <c r="N8" s="185">
        <v>43623</v>
      </c>
      <c r="O8" s="186"/>
      <c r="P8" s="187">
        <v>227</v>
      </c>
      <c r="Q8" s="187">
        <v>92</v>
      </c>
      <c r="R8" s="188">
        <v>68</v>
      </c>
      <c r="S8" s="188">
        <v>13</v>
      </c>
      <c r="T8" s="185"/>
      <c r="U8" s="185"/>
      <c r="V8" s="189">
        <v>0</v>
      </c>
      <c r="W8" s="190">
        <v>0</v>
      </c>
      <c r="X8" s="191"/>
      <c r="Y8" s="186"/>
      <c r="Z8" s="192"/>
      <c r="AA8" s="97">
        <v>0.40528634361233479</v>
      </c>
      <c r="AB8" s="193">
        <v>0.29691629955947141</v>
      </c>
      <c r="AC8" s="123"/>
      <c r="AD8" s="4"/>
      <c r="AE8" s="4"/>
      <c r="AF8" s="4"/>
      <c r="AG8" s="4"/>
      <c r="AH8" s="4" t="str">
        <f>"  " &amp; TEXT(AB8,"#0.00%") &amp; " "</f>
        <v xml:space="preserve">  29.69% </v>
      </c>
      <c r="AI8" s="4"/>
      <c r="AJ8" s="4"/>
      <c r="AK8" s="4"/>
      <c r="AL8" s="4"/>
      <c r="AM8" s="4"/>
      <c r="AN8" s="4"/>
      <c r="AO8" s="4"/>
      <c r="AP8" s="4"/>
      <c r="AQ8" s="4" t="str">
        <f>"      " &amp; "시스템 개발" &amp; " " &amp; IF(M8="","",TEXT(M8,"M/D-")) &amp; IF(N8="","",TEXT(N8,"M/D")) &amp; " "</f>
        <v xml:space="preserve">      시스템 개발 3/4-6/7 </v>
      </c>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row>
    <row r="9" spans="1:147" outlineLevel="1">
      <c r="A9" s="116"/>
      <c r="B9" s="116" t="s">
        <v>967</v>
      </c>
      <c r="C9" s="116">
        <v>2</v>
      </c>
      <c r="D9" s="3" t="s">
        <v>971</v>
      </c>
      <c r="E9" s="184"/>
      <c r="F9" s="184" t="s">
        <v>960</v>
      </c>
      <c r="G9" s="184"/>
      <c r="H9" s="184"/>
      <c r="I9" s="184"/>
      <c r="J9" s="184"/>
      <c r="K9" s="184"/>
      <c r="L9" s="184"/>
      <c r="M9" s="185">
        <v>43530</v>
      </c>
      <c r="N9" s="185">
        <v>43535</v>
      </c>
      <c r="O9" s="186"/>
      <c r="P9" s="187">
        <v>8</v>
      </c>
      <c r="Q9" s="187">
        <v>8</v>
      </c>
      <c r="R9" s="188">
        <v>4</v>
      </c>
      <c r="S9" s="188">
        <v>4</v>
      </c>
      <c r="T9" s="185"/>
      <c r="U9" s="185"/>
      <c r="V9" s="189">
        <v>0</v>
      </c>
      <c r="W9" s="190">
        <v>0</v>
      </c>
      <c r="X9" s="191"/>
      <c r="Y9" s="186"/>
      <c r="Z9" s="192"/>
      <c r="AA9" s="97">
        <v>1</v>
      </c>
      <c r="AB9" s="193">
        <v>1</v>
      </c>
      <c r="AC9" s="123"/>
      <c r="AD9" s="4"/>
      <c r="AE9" s="4" t="str">
        <f>"  " &amp; TEXT(AB9,"#0.00%") &amp; " " &amp; "분석" &amp; " " &amp; IF(M9="","",TEXT(M9,"M/D-")) &amp; IF(N9="","",TEXT(N9,"M/D")) &amp; " "</f>
        <v xml:space="preserve">  100.00% 분석 3/6-3/11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row>
    <row r="10" spans="1:147" outlineLevel="2">
      <c r="A10" s="116"/>
      <c r="B10" s="116"/>
      <c r="C10" s="116">
        <v>3</v>
      </c>
      <c r="D10" s="3" t="s">
        <v>955</v>
      </c>
      <c r="E10" s="184"/>
      <c r="F10" s="184"/>
      <c r="G10" s="184" t="s">
        <v>1043</v>
      </c>
      <c r="H10" s="184"/>
      <c r="I10" s="184"/>
      <c r="J10" s="184"/>
      <c r="K10" s="184"/>
      <c r="L10" s="184"/>
      <c r="M10" s="185">
        <v>43530</v>
      </c>
      <c r="N10" s="185">
        <v>43535</v>
      </c>
      <c r="O10" s="186"/>
      <c r="P10" s="187">
        <v>4</v>
      </c>
      <c r="Q10" s="187">
        <v>4</v>
      </c>
      <c r="R10" s="188">
        <v>4</v>
      </c>
      <c r="S10" s="188">
        <v>4</v>
      </c>
      <c r="T10" s="185"/>
      <c r="U10" s="185"/>
      <c r="V10" s="189"/>
      <c r="W10" s="190">
        <v>0</v>
      </c>
      <c r="X10" s="191">
        <v>1</v>
      </c>
      <c r="Y10" s="186" t="s">
        <v>1153</v>
      </c>
      <c r="Z10" s="192"/>
      <c r="AA10" s="97">
        <v>1</v>
      </c>
      <c r="AB10" s="193">
        <v>1</v>
      </c>
      <c r="AC10" s="123"/>
      <c r="AD10" s="4"/>
      <c r="AE10" s="4" t="str">
        <f>"  " &amp; TEXT(AB10,"#0.00%") &amp; " " &amp; "요구사항 정의" &amp; "(조원 전체)" &amp; " " &amp; IF(M10="","",TEXT(M10,"M/D-")) &amp; IF(N10="","",TEXT(N10,"M/D")) &amp; " "</f>
        <v xml:space="preserve">  100.00% 요구사항 정의(조원 전체) 3/6-3/11 </v>
      </c>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row>
    <row r="11" spans="1:147" outlineLevel="2">
      <c r="A11" s="116"/>
      <c r="B11" s="116"/>
      <c r="C11" s="116">
        <v>3</v>
      </c>
      <c r="D11" s="3" t="s">
        <v>972</v>
      </c>
      <c r="E11" s="184"/>
      <c r="F11" s="184"/>
      <c r="G11" s="184" t="s">
        <v>1044</v>
      </c>
      <c r="H11" s="184"/>
      <c r="I11" s="184"/>
      <c r="J11" s="184"/>
      <c r="K11" s="184"/>
      <c r="L11" s="184"/>
      <c r="M11" s="185">
        <v>43530</v>
      </c>
      <c r="N11" s="185">
        <v>43535</v>
      </c>
      <c r="O11" s="186"/>
      <c r="P11" s="187">
        <v>4</v>
      </c>
      <c r="Q11" s="187">
        <v>4</v>
      </c>
      <c r="R11" s="188">
        <v>4</v>
      </c>
      <c r="S11" s="188">
        <v>4</v>
      </c>
      <c r="T11" s="185"/>
      <c r="U11" s="185"/>
      <c r="V11" s="189"/>
      <c r="W11" s="190">
        <v>0</v>
      </c>
      <c r="X11" s="191">
        <v>1</v>
      </c>
      <c r="Y11" s="186" t="s">
        <v>1153</v>
      </c>
      <c r="Z11" s="192"/>
      <c r="AA11" s="97">
        <v>1</v>
      </c>
      <c r="AB11" s="193">
        <v>1</v>
      </c>
      <c r="AC11" s="123"/>
      <c r="AD11" s="4"/>
      <c r="AE11" s="4" t="str">
        <f>"  " &amp; TEXT(AB11,"#0.00%") &amp; " " &amp; "시나리오 작성" &amp; "(조원 전체)" &amp; " " &amp; IF(M11="","",TEXT(M11,"M/D-")) &amp; IF(N11="","",TEXT(N11,"M/D")) &amp; " "</f>
        <v xml:space="preserve">  100.00% 시나리오 작성(조원 전체) 3/6-3/11 </v>
      </c>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row>
    <row r="12" spans="1:147" outlineLevel="2">
      <c r="A12" s="116"/>
      <c r="B12" s="116"/>
      <c r="C12" s="116">
        <v>0</v>
      </c>
      <c r="D12" s="3"/>
      <c r="E12" s="184"/>
      <c r="F12" s="184"/>
      <c r="G12" s="184"/>
      <c r="H12" s="184"/>
      <c r="I12" s="184"/>
      <c r="J12" s="184"/>
      <c r="K12" s="184"/>
      <c r="L12" s="184"/>
      <c r="M12" s="185"/>
      <c r="N12" s="185"/>
      <c r="O12" s="186"/>
      <c r="P12" s="187"/>
      <c r="Q12" s="187"/>
      <c r="R12" s="188">
        <v>0</v>
      </c>
      <c r="S12" s="188">
        <v>0</v>
      </c>
      <c r="T12" s="185"/>
      <c r="U12" s="185"/>
      <c r="V12" s="189"/>
      <c r="W12" s="190">
        <v>0</v>
      </c>
      <c r="X12" s="191"/>
      <c r="Y12" s="186"/>
      <c r="Z12" s="192"/>
      <c r="AA12" s="97"/>
      <c r="AB12" s="193"/>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row>
    <row r="13" spans="1:147" outlineLevel="1">
      <c r="A13" s="116"/>
      <c r="B13" s="116" t="s">
        <v>967</v>
      </c>
      <c r="C13" s="116">
        <v>2</v>
      </c>
      <c r="D13" s="3" t="s">
        <v>973</v>
      </c>
      <c r="E13" s="184"/>
      <c r="F13" s="184" t="s">
        <v>961</v>
      </c>
      <c r="G13" s="184"/>
      <c r="H13" s="184"/>
      <c r="I13" s="184"/>
      <c r="J13" s="184"/>
      <c r="K13" s="184"/>
      <c r="L13" s="184"/>
      <c r="M13" s="185">
        <v>43528</v>
      </c>
      <c r="N13" s="185">
        <v>43553</v>
      </c>
      <c r="O13" s="186"/>
      <c r="P13" s="187">
        <v>51</v>
      </c>
      <c r="Q13" s="187">
        <v>38</v>
      </c>
      <c r="R13" s="188">
        <v>20</v>
      </c>
      <c r="S13" s="188">
        <v>13</v>
      </c>
      <c r="T13" s="185"/>
      <c r="U13" s="185"/>
      <c r="V13" s="189">
        <v>0</v>
      </c>
      <c r="W13" s="190">
        <v>0</v>
      </c>
      <c r="X13" s="191"/>
      <c r="Y13" s="186"/>
      <c r="Z13" s="192"/>
      <c r="AA13" s="97">
        <v>0.74509803921568629</v>
      </c>
      <c r="AB13" s="193">
        <v>0.62549019607843137</v>
      </c>
      <c r="AC13" s="123"/>
      <c r="AD13" s="4"/>
      <c r="AE13" s="4"/>
      <c r="AF13" s="4" t="str">
        <f>"   " &amp; TEXT(AB13,"#0.00%") &amp; " " &amp; "설계" &amp; " " &amp; IF(M13="","",TEXT(M13,"M/D-")) &amp; IF(N13="","",TEXT(N13,"M/D")) &amp; " "</f>
        <v xml:space="preserve">   62.55% 설계 3/4-3/29 </v>
      </c>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row>
    <row r="14" spans="1:147" outlineLevel="2">
      <c r="A14" s="116"/>
      <c r="B14" s="116"/>
      <c r="C14" s="116">
        <v>3</v>
      </c>
      <c r="D14" s="3" t="s">
        <v>956</v>
      </c>
      <c r="E14" s="184"/>
      <c r="F14" s="184"/>
      <c r="G14" s="184" t="s">
        <v>1045</v>
      </c>
      <c r="H14" s="184"/>
      <c r="I14" s="184"/>
      <c r="J14" s="184"/>
      <c r="K14" s="184"/>
      <c r="L14" s="184"/>
      <c r="M14" s="185">
        <v>43535</v>
      </c>
      <c r="N14" s="185">
        <v>43539</v>
      </c>
      <c r="O14" s="186"/>
      <c r="P14" s="187">
        <v>5</v>
      </c>
      <c r="Q14" s="187">
        <v>5</v>
      </c>
      <c r="R14" s="188">
        <v>5</v>
      </c>
      <c r="S14" s="188">
        <v>5</v>
      </c>
      <c r="T14" s="185"/>
      <c r="U14" s="185"/>
      <c r="V14" s="189"/>
      <c r="W14" s="190">
        <v>0</v>
      </c>
      <c r="X14" s="191">
        <v>1</v>
      </c>
      <c r="Y14" s="215" t="s">
        <v>1087</v>
      </c>
      <c r="Z14" s="192"/>
      <c r="AA14" s="97">
        <v>1</v>
      </c>
      <c r="AB14" s="193">
        <v>0.9</v>
      </c>
      <c r="AC14" s="123"/>
      <c r="AD14" s="4"/>
      <c r="AE14" s="4" t="str">
        <f>"      " &amp; TEXT(AB14,"#0.00%") &amp; " " &amp; "ERD설계" &amp; "(이수재)" &amp; " " &amp; IF(M14="","",TEXT(M14,"M/D-")) &amp; IF(N14="","",TEXT(N14,"M/D")) &amp; " "</f>
        <v xml:space="preserve">      90.00% ERD설계(이수재) 3/11-3/15 </v>
      </c>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row>
    <row r="15" spans="1:147" outlineLevel="2">
      <c r="A15" s="116"/>
      <c r="B15" s="116"/>
      <c r="C15" s="116">
        <v>3</v>
      </c>
      <c r="D15" s="3" t="s">
        <v>974</v>
      </c>
      <c r="E15" s="184"/>
      <c r="F15" s="184"/>
      <c r="G15" s="184" t="s">
        <v>1036</v>
      </c>
      <c r="H15" s="184"/>
      <c r="I15" s="184"/>
      <c r="J15" s="184"/>
      <c r="K15" s="184"/>
      <c r="L15" s="184"/>
      <c r="M15" s="185">
        <v>43535</v>
      </c>
      <c r="N15" s="185">
        <v>43546</v>
      </c>
      <c r="O15" s="186"/>
      <c r="P15" s="187">
        <v>10</v>
      </c>
      <c r="Q15" s="187">
        <v>8</v>
      </c>
      <c r="R15" s="188">
        <v>10</v>
      </c>
      <c r="S15" s="188">
        <v>8</v>
      </c>
      <c r="T15" s="185"/>
      <c r="U15" s="185"/>
      <c r="V15" s="189"/>
      <c r="W15" s="190">
        <v>0</v>
      </c>
      <c r="X15" s="191">
        <v>1</v>
      </c>
      <c r="Y15" s="186" t="s">
        <v>1088</v>
      </c>
      <c r="Z15" s="192"/>
      <c r="AA15" s="97">
        <v>0.8</v>
      </c>
      <c r="AB15" s="193">
        <v>0.4</v>
      </c>
      <c r="AC15" s="123"/>
      <c r="AD15" s="4"/>
      <c r="AE15" s="4" t="str">
        <f>"      " &amp; TEXT(AB15,"#0.00%") &amp; " " &amp; "화면 설계" &amp; "(김소민, 김승연)" &amp; " " &amp; IF(M15="","",TEXT(M15,"M/D-")) &amp; IF(N15="","",TEXT(N15,"M/D")) &amp; " "</f>
        <v xml:space="preserve">      40.00% 화면 설계(김소민, 김승연) 3/11-3/22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row>
    <row r="16" spans="1:147" outlineLevel="2">
      <c r="A16" s="116"/>
      <c r="B16" s="116"/>
      <c r="C16" s="116">
        <v>3</v>
      </c>
      <c r="D16" s="3" t="s">
        <v>957</v>
      </c>
      <c r="E16" s="184"/>
      <c r="F16" s="184"/>
      <c r="G16" s="184" t="s">
        <v>1089</v>
      </c>
      <c r="H16" s="184"/>
      <c r="I16" s="184"/>
      <c r="J16" s="184"/>
      <c r="K16" s="184"/>
      <c r="L16" s="184"/>
      <c r="M16" s="185">
        <v>43535</v>
      </c>
      <c r="N16" s="185">
        <v>43546</v>
      </c>
      <c r="O16" s="186"/>
      <c r="P16" s="187">
        <v>10</v>
      </c>
      <c r="Q16" s="187">
        <v>8</v>
      </c>
      <c r="R16" s="188">
        <v>10</v>
      </c>
      <c r="S16" s="188">
        <v>8</v>
      </c>
      <c r="T16" s="185"/>
      <c r="U16" s="185"/>
      <c r="V16" s="189"/>
      <c r="W16" s="190">
        <v>0</v>
      </c>
      <c r="X16" s="191">
        <v>1</v>
      </c>
      <c r="Y16" s="186" t="s">
        <v>1090</v>
      </c>
      <c r="Z16" s="192"/>
      <c r="AA16" s="97">
        <v>0.8</v>
      </c>
      <c r="AB16" s="193">
        <v>0.5</v>
      </c>
      <c r="AC16" s="123"/>
      <c r="AD16" s="4"/>
      <c r="AE16" s="4"/>
      <c r="AF16" s="4" t="str">
        <f>"" &amp; TEXT(AB16,"#0.00%") &amp; " " &amp; "서버 설계" &amp; "(최찬민, 조혜경)" &amp; " " &amp; IF(M16="","",TEXT(M16,"M/D-")) &amp; IF(N16="","",TEXT(N16,"M/D")) &amp; " "</f>
        <v xml:space="preserve">50.00% 서버 설계(최찬민, 조혜경) 3/11-3/22 </v>
      </c>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row>
    <row r="17" spans="1:147" outlineLevel="2">
      <c r="A17" s="116"/>
      <c r="B17" s="116"/>
      <c r="C17" s="116">
        <v>3</v>
      </c>
      <c r="D17" s="3" t="s">
        <v>1072</v>
      </c>
      <c r="E17" s="184"/>
      <c r="F17" s="184"/>
      <c r="G17" s="184" t="s">
        <v>1046</v>
      </c>
      <c r="H17" s="184"/>
      <c r="I17" s="184"/>
      <c r="J17" s="184"/>
      <c r="K17" s="184"/>
      <c r="L17" s="184"/>
      <c r="M17" s="185">
        <v>43539</v>
      </c>
      <c r="N17" s="185">
        <v>43546</v>
      </c>
      <c r="O17" s="186"/>
      <c r="P17" s="187">
        <v>6</v>
      </c>
      <c r="Q17" s="187">
        <v>4</v>
      </c>
      <c r="R17" s="188">
        <v>6</v>
      </c>
      <c r="S17" s="188">
        <v>4</v>
      </c>
      <c r="T17" s="185"/>
      <c r="U17" s="185"/>
      <c r="V17" s="189"/>
      <c r="W17" s="190">
        <v>0</v>
      </c>
      <c r="X17" s="191">
        <v>1</v>
      </c>
      <c r="Y17" s="186" t="s">
        <v>1091</v>
      </c>
      <c r="Z17" s="192"/>
      <c r="AA17" s="97">
        <v>0.66666666666666663</v>
      </c>
      <c r="AB17" s="193">
        <v>0.4</v>
      </c>
      <c r="AC17" s="123"/>
      <c r="AD17" s="4"/>
      <c r="AE17" s="4"/>
      <c r="AF17" s="4" t="str">
        <f>" " &amp; TEXT(AB17,"#0.00%") &amp; " " &amp; "화면정의서 작성" &amp; "(김소민, 김승연, 최찬민, 조혜경)" &amp; " " &amp; IF(M17="","",TEXT(M17,"M/D-")) &amp; IF(N17="","",TEXT(N17,"M/D")) &amp; " "</f>
        <v xml:space="preserve"> 40.00% 화면정의서 작성(김소민, 김승연, 최찬민, 조혜경) 3/15-3/22 </v>
      </c>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row>
    <row r="18" spans="1:147" outlineLevel="2">
      <c r="A18" s="116"/>
      <c r="B18" s="116"/>
      <c r="C18" s="116">
        <v>3</v>
      </c>
      <c r="D18" s="3" t="s">
        <v>1092</v>
      </c>
      <c r="E18" s="184"/>
      <c r="F18" s="184"/>
      <c r="G18" s="184" t="s">
        <v>1050</v>
      </c>
      <c r="H18" s="184"/>
      <c r="I18" s="184"/>
      <c r="J18" s="184"/>
      <c r="K18" s="184"/>
      <c r="L18" s="184"/>
      <c r="M18" s="185">
        <v>43528</v>
      </c>
      <c r="N18" s="185">
        <v>43553</v>
      </c>
      <c r="O18" s="186"/>
      <c r="P18" s="187">
        <v>20</v>
      </c>
      <c r="Q18" s="187">
        <v>13</v>
      </c>
      <c r="R18" s="188">
        <v>20</v>
      </c>
      <c r="S18" s="188">
        <v>13</v>
      </c>
      <c r="T18" s="185"/>
      <c r="U18" s="185"/>
      <c r="V18" s="189"/>
      <c r="W18" s="190">
        <v>0</v>
      </c>
      <c r="X18" s="191">
        <v>1</v>
      </c>
      <c r="Y18" s="215" t="s">
        <v>1153</v>
      </c>
      <c r="Z18" s="192"/>
      <c r="AA18" s="97">
        <v>0.65</v>
      </c>
      <c r="AB18" s="193">
        <v>0.8</v>
      </c>
      <c r="AC18" s="123"/>
      <c r="AD18" s="4"/>
      <c r="AE18" s="4"/>
      <c r="AF18" s="4"/>
      <c r="AG18" s="4" t="str">
        <f>" " &amp; TEXT(AB18,"#0.00%") &amp; " " &amp; "산출물 작성 및 제출" &amp; "(조원 전체)" &amp; " " &amp; IF(M18="","",TEXT(M18,"M/D-")) &amp; IF(N18="","",TEXT(N18,"M/D")) &amp; " "</f>
        <v xml:space="preserve"> 80.00% 산출물 작성 및 제출(조원 전체) 3/4-3/29 </v>
      </c>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row>
    <row r="19" spans="1:147" outlineLevel="2">
      <c r="A19" s="116"/>
      <c r="B19" s="116"/>
      <c r="C19" s="116">
        <v>0</v>
      </c>
      <c r="D19" s="207"/>
      <c r="E19" s="184"/>
      <c r="F19" s="184"/>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row>
    <row r="20" spans="1:147" outlineLevel="1">
      <c r="A20" s="116"/>
      <c r="B20" s="116" t="s">
        <v>967</v>
      </c>
      <c r="C20" s="116">
        <v>2</v>
      </c>
      <c r="D20" s="3" t="s">
        <v>975</v>
      </c>
      <c r="E20" s="184"/>
      <c r="F20" s="184" t="s">
        <v>962</v>
      </c>
      <c r="G20" s="184"/>
      <c r="H20" s="184"/>
      <c r="I20" s="184"/>
      <c r="J20" s="184"/>
      <c r="K20" s="184"/>
      <c r="L20" s="184"/>
      <c r="M20" s="185">
        <v>43535</v>
      </c>
      <c r="N20" s="185">
        <v>43623</v>
      </c>
      <c r="O20" s="186"/>
      <c r="P20" s="187">
        <v>168</v>
      </c>
      <c r="Q20" s="187">
        <v>46</v>
      </c>
      <c r="R20" s="188">
        <v>63</v>
      </c>
      <c r="S20" s="188">
        <v>8</v>
      </c>
      <c r="T20" s="185"/>
      <c r="U20" s="185"/>
      <c r="V20" s="189">
        <v>0</v>
      </c>
      <c r="W20" s="190">
        <v>0</v>
      </c>
      <c r="X20" s="191"/>
      <c r="Y20" s="186"/>
      <c r="Z20" s="192"/>
      <c r="AA20" s="97">
        <v>0.27380952380952384</v>
      </c>
      <c r="AB20" s="193">
        <v>0.16369047619047619</v>
      </c>
      <c r="AC20" s="123"/>
      <c r="AD20" s="4"/>
      <c r="AE20" s="4"/>
      <c r="AF20" s="4"/>
      <c r="AG20" s="4" t="str">
        <f>"  " &amp; TEXT(AB20,"#0.00%") &amp; " "</f>
        <v xml:space="preserve">  16.37% </v>
      </c>
      <c r="AH20" s="4"/>
      <c r="AI20" s="4"/>
      <c r="AJ20" s="4"/>
      <c r="AK20" s="4"/>
      <c r="AL20" s="4"/>
      <c r="AM20" s="4"/>
      <c r="AN20" s="4"/>
      <c r="AO20" s="4"/>
      <c r="AP20" s="4"/>
      <c r="AQ20" s="4" t="str">
        <f>"      " &amp; "개발" &amp; " " &amp; IF(M20="","",TEXT(M20,"M/D-")) &amp; IF(N20="","",TEXT(N20,"M/D")) &amp; " "</f>
        <v xml:space="preserve">      개발 3/11-6/7 </v>
      </c>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row>
    <row r="21" spans="1:147" outlineLevel="2">
      <c r="A21" s="116"/>
      <c r="B21" s="116" t="s">
        <v>967</v>
      </c>
      <c r="C21" s="116">
        <v>3</v>
      </c>
      <c r="D21" s="3" t="s">
        <v>976</v>
      </c>
      <c r="E21" s="184"/>
      <c r="F21" s="184"/>
      <c r="G21" s="184" t="s">
        <v>1037</v>
      </c>
      <c r="H21" s="184"/>
      <c r="I21" s="184"/>
      <c r="J21" s="184"/>
      <c r="K21" s="184"/>
      <c r="L21" s="184"/>
      <c r="M21" s="185">
        <v>43535</v>
      </c>
      <c r="N21" s="185">
        <v>43542</v>
      </c>
      <c r="O21" s="186"/>
      <c r="P21" s="187">
        <v>18</v>
      </c>
      <c r="Q21" s="187">
        <v>18</v>
      </c>
      <c r="R21" s="188">
        <v>6</v>
      </c>
      <c r="S21" s="188">
        <v>6</v>
      </c>
      <c r="T21" s="185"/>
      <c r="U21" s="185"/>
      <c r="V21" s="189">
        <v>0</v>
      </c>
      <c r="W21" s="190">
        <v>0</v>
      </c>
      <c r="X21" s="191"/>
      <c r="Y21" s="186"/>
      <c r="Z21" s="192"/>
      <c r="AA21" s="97">
        <v>1</v>
      </c>
      <c r="AB21" s="193">
        <v>1</v>
      </c>
      <c r="AC21" s="123"/>
      <c r="AD21" s="4"/>
      <c r="AE21" s="4"/>
      <c r="AF21" s="4" t="str">
        <f>"  " &amp; TEXT(AB21,"#0.00%") &amp; " " &amp; "개발 환경 구축" &amp; " " &amp; IF(M21="","",TEXT(M21,"M/D-")) &amp; IF(N21="","",TEXT(N21,"M/D")) &amp; " "</f>
        <v xml:space="preserve">  100.00% 개발 환경 구축 3/11-3/18 </v>
      </c>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row>
    <row r="22" spans="1:147" outlineLevel="3">
      <c r="A22" s="116"/>
      <c r="B22" s="116"/>
      <c r="C22" s="116">
        <v>4</v>
      </c>
      <c r="D22" s="3" t="s">
        <v>963</v>
      </c>
      <c r="E22" s="184"/>
      <c r="F22" s="184"/>
      <c r="G22" s="184"/>
      <c r="H22" s="184" t="s">
        <v>1047</v>
      </c>
      <c r="I22" s="184"/>
      <c r="J22" s="184"/>
      <c r="K22" s="184"/>
      <c r="L22" s="184"/>
      <c r="M22" s="185">
        <v>43535</v>
      </c>
      <c r="N22" s="185">
        <v>43542</v>
      </c>
      <c r="O22" s="186"/>
      <c r="P22" s="187">
        <v>6</v>
      </c>
      <c r="Q22" s="187">
        <v>6</v>
      </c>
      <c r="R22" s="188">
        <v>6</v>
      </c>
      <c r="S22" s="188">
        <v>6</v>
      </c>
      <c r="T22" s="185"/>
      <c r="U22" s="185"/>
      <c r="V22" s="189"/>
      <c r="W22" s="190">
        <v>0</v>
      </c>
      <c r="X22" s="191">
        <v>1</v>
      </c>
      <c r="Y22" s="186" t="s">
        <v>1088</v>
      </c>
      <c r="Z22" s="192"/>
      <c r="AA22" s="97">
        <v>1</v>
      </c>
      <c r="AB22" s="193">
        <v>1</v>
      </c>
      <c r="AC22" s="123"/>
      <c r="AD22" s="4"/>
      <c r="AE22" s="4"/>
      <c r="AF22" s="4" t="str">
        <f>"  " &amp; TEXT(AB22,"#0.00%") &amp; " " &amp; "프론트 엔드" &amp; "(김소민, 김승연)" &amp; " " &amp; IF(M22="","",TEXT(M22,"M/D-")) &amp; IF(N22="","",TEXT(N22,"M/D")) &amp; " "</f>
        <v xml:space="preserve">  100.00% 프론트 엔드(김소민, 김승연) 3/11-3/18 </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row>
    <row r="23" spans="1:147" outlineLevel="3">
      <c r="A23" s="116"/>
      <c r="B23" s="116"/>
      <c r="C23" s="116">
        <v>4</v>
      </c>
      <c r="D23" s="3" t="s">
        <v>977</v>
      </c>
      <c r="E23" s="184"/>
      <c r="F23" s="184"/>
      <c r="G23" s="184"/>
      <c r="H23" s="184" t="s">
        <v>1038</v>
      </c>
      <c r="I23" s="184"/>
      <c r="J23" s="184"/>
      <c r="K23" s="184"/>
      <c r="L23" s="184"/>
      <c r="M23" s="185">
        <v>43535</v>
      </c>
      <c r="N23" s="185">
        <v>43542</v>
      </c>
      <c r="O23" s="186"/>
      <c r="P23" s="187">
        <v>6</v>
      </c>
      <c r="Q23" s="187">
        <v>6</v>
      </c>
      <c r="R23" s="188">
        <v>6</v>
      </c>
      <c r="S23" s="188">
        <v>6</v>
      </c>
      <c r="T23" s="185"/>
      <c r="U23" s="185"/>
      <c r="V23" s="189"/>
      <c r="W23" s="190">
        <v>0</v>
      </c>
      <c r="X23" s="191">
        <v>1</v>
      </c>
      <c r="Y23" s="186" t="s">
        <v>1090</v>
      </c>
      <c r="Z23" s="192"/>
      <c r="AA23" s="97">
        <v>1</v>
      </c>
      <c r="AB23" s="193">
        <v>1</v>
      </c>
      <c r="AC23" s="123"/>
      <c r="AD23" s="4"/>
      <c r="AE23" s="4"/>
      <c r="AF23" s="4" t="str">
        <f>"  " &amp; TEXT(AB23,"#0.00%") &amp; " " &amp; "백 엔드" &amp; "(최찬민, 조혜경)" &amp; " " &amp; IF(M23="","",TEXT(M23,"M/D-")) &amp; IF(N23="","",TEXT(N23,"M/D")) &amp; " "</f>
        <v xml:space="preserve">  100.00% 백 엔드(최찬민, 조혜경) 3/11-3/18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row>
    <row r="24" spans="1:147" outlineLevel="3">
      <c r="A24" s="116"/>
      <c r="B24" s="116"/>
      <c r="C24" s="116">
        <v>4</v>
      </c>
      <c r="D24" s="3" t="s">
        <v>1073</v>
      </c>
      <c r="E24" s="184"/>
      <c r="F24" s="184"/>
      <c r="G24" s="184"/>
      <c r="H24" s="184" t="s">
        <v>1048</v>
      </c>
      <c r="I24" s="184"/>
      <c r="J24" s="184"/>
      <c r="K24" s="184"/>
      <c r="L24" s="184"/>
      <c r="M24" s="185">
        <v>43535</v>
      </c>
      <c r="N24" s="185">
        <v>43542</v>
      </c>
      <c r="O24" s="186"/>
      <c r="P24" s="187">
        <v>6</v>
      </c>
      <c r="Q24" s="187">
        <v>6</v>
      </c>
      <c r="R24" s="188">
        <v>6</v>
      </c>
      <c r="S24" s="188">
        <v>6</v>
      </c>
      <c r="T24" s="185"/>
      <c r="U24" s="185"/>
      <c r="V24" s="189"/>
      <c r="W24" s="190">
        <v>0</v>
      </c>
      <c r="X24" s="191">
        <v>1</v>
      </c>
      <c r="Y24" s="215" t="s">
        <v>1087</v>
      </c>
      <c r="Z24" s="192"/>
      <c r="AA24" s="97">
        <v>1</v>
      </c>
      <c r="AB24" s="193">
        <v>1</v>
      </c>
      <c r="AC24" s="123"/>
      <c r="AD24" s="4"/>
      <c r="AE24" s="4"/>
      <c r="AF24" s="4" t="str">
        <f>"  " &amp; TEXT(AB24,"#0.00%") &amp; " " &amp; "백 엔드-파이썬" &amp; "(이수재)" &amp; " " &amp; IF(M24="","",TEXT(M24,"M/D-")) &amp; IF(N24="","",TEXT(N24,"M/D")) &amp; " "</f>
        <v xml:space="preserve">  100.00% 백 엔드-파이썬(이수재) 3/11-3/18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row>
    <row r="25" spans="1:147" outlineLevel="3">
      <c r="A25" s="116"/>
      <c r="B25" s="116"/>
      <c r="C25" s="116">
        <v>0</v>
      </c>
      <c r="D25" s="3"/>
      <c r="E25" s="184"/>
      <c r="F25" s="184"/>
      <c r="G25" s="184"/>
      <c r="H25" s="184"/>
      <c r="I25" s="184"/>
      <c r="J25" s="184"/>
      <c r="K25" s="184"/>
      <c r="L25" s="184"/>
      <c r="M25" s="185"/>
      <c r="N25" s="185"/>
      <c r="O25" s="186"/>
      <c r="P25" s="187"/>
      <c r="Q25" s="187"/>
      <c r="R25" s="188">
        <v>0</v>
      </c>
      <c r="S25" s="188">
        <v>0</v>
      </c>
      <c r="T25" s="185"/>
      <c r="U25" s="185"/>
      <c r="V25" s="189"/>
      <c r="W25" s="190">
        <v>0</v>
      </c>
      <c r="X25" s="191"/>
      <c r="Y25" s="186"/>
      <c r="Z25" s="192"/>
      <c r="AA25" s="97"/>
      <c r="AB25" s="193"/>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row>
    <row r="26" spans="1:147" outlineLevel="2">
      <c r="A26" s="116"/>
      <c r="B26" s="116" t="s">
        <v>967</v>
      </c>
      <c r="C26" s="116">
        <v>3</v>
      </c>
      <c r="D26" s="3" t="s">
        <v>978</v>
      </c>
      <c r="E26" s="184"/>
      <c r="F26" s="184"/>
      <c r="G26" s="184" t="s">
        <v>1049</v>
      </c>
      <c r="H26" s="184"/>
      <c r="I26" s="184"/>
      <c r="J26" s="184"/>
      <c r="K26" s="184"/>
      <c r="L26" s="184"/>
      <c r="M26" s="185">
        <v>43535</v>
      </c>
      <c r="N26" s="185">
        <v>43565</v>
      </c>
      <c r="O26" s="186"/>
      <c r="P26" s="187">
        <v>119</v>
      </c>
      <c r="Q26" s="187">
        <v>28</v>
      </c>
      <c r="R26" s="188">
        <v>23</v>
      </c>
      <c r="S26" s="188">
        <v>8</v>
      </c>
      <c r="T26" s="185"/>
      <c r="U26" s="185"/>
      <c r="V26" s="189">
        <v>0</v>
      </c>
      <c r="W26" s="190">
        <v>0</v>
      </c>
      <c r="X26" s="191"/>
      <c r="Y26" s="186"/>
      <c r="Z26" s="192"/>
      <c r="AA26" s="97">
        <v>0.23529411764705882</v>
      </c>
      <c r="AB26" s="193">
        <v>7.9831932773109238E-2</v>
      </c>
      <c r="AC26" s="123"/>
      <c r="AD26" s="4"/>
      <c r="AE26" s="4" t="str">
        <f>"   " &amp; TEXT(AB26,"#0.00%") &amp; " "</f>
        <v xml:space="preserve">   7.98% </v>
      </c>
      <c r="AF26" s="4"/>
      <c r="AG26" s="4"/>
      <c r="AH26" s="4"/>
      <c r="AI26" s="4" t="str">
        <f>"    " &amp; "기능 구현" &amp; " " &amp; IF(M26="","",TEXT(M26,"M/D-")) &amp; IF(N26="","",TEXT(N26,"M/D")) &amp; " "</f>
        <v xml:space="preserve">    기능 구현 3/11-4/10 </v>
      </c>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row>
    <row r="27" spans="1:147" outlineLevel="3">
      <c r="A27" s="116"/>
      <c r="B27" s="116" t="s">
        <v>967</v>
      </c>
      <c r="C27" s="116">
        <v>4</v>
      </c>
      <c r="D27" s="3" t="s">
        <v>964</v>
      </c>
      <c r="E27" s="184"/>
      <c r="F27" s="184"/>
      <c r="G27" s="184"/>
      <c r="H27" s="184" t="s">
        <v>1047</v>
      </c>
      <c r="I27" s="184"/>
      <c r="J27" s="184"/>
      <c r="K27" s="184"/>
      <c r="L27" s="184"/>
      <c r="M27" s="185">
        <v>43542</v>
      </c>
      <c r="N27" s="185">
        <v>43565</v>
      </c>
      <c r="O27" s="186"/>
      <c r="P27" s="187">
        <v>53</v>
      </c>
      <c r="Q27" s="187">
        <v>8</v>
      </c>
      <c r="R27" s="188">
        <v>18</v>
      </c>
      <c r="S27" s="188">
        <v>3</v>
      </c>
      <c r="T27" s="185"/>
      <c r="U27" s="185"/>
      <c r="V27" s="189">
        <v>0</v>
      </c>
      <c r="W27" s="190">
        <v>0</v>
      </c>
      <c r="X27" s="191"/>
      <c r="Y27" s="186"/>
      <c r="Z27" s="192"/>
      <c r="AA27" s="97">
        <v>0.15094339622641509</v>
      </c>
      <c r="AB27" s="193">
        <v>0</v>
      </c>
      <c r="AC27" s="123"/>
      <c r="AD27" s="4"/>
      <c r="AE27" s="4"/>
      <c r="AF27" s="4" t="str">
        <f>" " &amp; TEXT(AB27,"#0.00%") &amp; " "</f>
        <v xml:space="preserve"> 0.00% </v>
      </c>
      <c r="AG27" s="4"/>
      <c r="AH27" s="4"/>
      <c r="AI27" s="4" t="str">
        <f>"    " &amp; "프론트 엔드" &amp; " " &amp; IF(M27="","",TEXT(M27,"M/D-")) &amp; IF(N27="","",TEXT(N27,"M/D")) &amp; " "</f>
        <v xml:space="preserve">    프론트 엔드 3/18-4/10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row>
    <row r="28" spans="1:147" outlineLevel="4">
      <c r="A28" s="116"/>
      <c r="B28" s="116" t="s">
        <v>967</v>
      </c>
      <c r="C28" s="116">
        <v>5</v>
      </c>
      <c r="D28" s="3" t="s">
        <v>1074</v>
      </c>
      <c r="E28" s="184"/>
      <c r="F28" s="184"/>
      <c r="G28" s="184"/>
      <c r="H28" s="184"/>
      <c r="I28" s="184" t="s">
        <v>1098</v>
      </c>
      <c r="J28" s="184"/>
      <c r="K28" s="184"/>
      <c r="L28" s="184"/>
      <c r="M28" s="185">
        <v>43542</v>
      </c>
      <c r="N28" s="185">
        <v>43552</v>
      </c>
      <c r="O28" s="186"/>
      <c r="P28" s="187">
        <v>14</v>
      </c>
      <c r="Q28" s="187">
        <v>4</v>
      </c>
      <c r="R28" s="188">
        <v>9</v>
      </c>
      <c r="S28" s="188">
        <v>3</v>
      </c>
      <c r="T28" s="185"/>
      <c r="U28" s="185"/>
      <c r="V28" s="189">
        <v>0</v>
      </c>
      <c r="W28" s="190">
        <v>0</v>
      </c>
      <c r="X28" s="191"/>
      <c r="Y28" s="186"/>
      <c r="Z28" s="192"/>
      <c r="AA28" s="97">
        <v>0.2857142857142857</v>
      </c>
      <c r="AB28" s="193">
        <v>0</v>
      </c>
      <c r="AC28" s="123"/>
      <c r="AD28" s="4"/>
      <c r="AE28" s="4"/>
      <c r="AF28" s="4" t="str">
        <f>" " &amp; TEXT(AB28,"#0.00%") &amp; " " &amp; "기본 기능" &amp; " " &amp; IF(M28="","",TEXT(M28,"M/D-")) &amp; IF(N28="","",TEXT(N28,"M/D")) &amp; " "</f>
        <v xml:space="preserve"> 0.00% 기본 기능 3/18-3/28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row>
    <row r="29" spans="1:147" outlineLevel="5">
      <c r="A29" s="116"/>
      <c r="B29" s="116"/>
      <c r="C29" s="116">
        <v>6</v>
      </c>
      <c r="D29" s="3" t="s">
        <v>1109</v>
      </c>
      <c r="E29" s="184"/>
      <c r="F29" s="184"/>
      <c r="G29" s="184"/>
      <c r="H29" s="212"/>
      <c r="I29" s="184"/>
      <c r="J29" s="184" t="s">
        <v>1127</v>
      </c>
      <c r="K29" s="184"/>
      <c r="L29" s="184"/>
      <c r="M29" s="185">
        <v>43542</v>
      </c>
      <c r="N29" s="185">
        <v>43545</v>
      </c>
      <c r="O29" s="186"/>
      <c r="P29" s="187">
        <v>4</v>
      </c>
      <c r="Q29" s="187">
        <v>3</v>
      </c>
      <c r="R29" s="188">
        <v>4</v>
      </c>
      <c r="S29" s="188">
        <v>3</v>
      </c>
      <c r="T29" s="185"/>
      <c r="U29" s="185"/>
      <c r="V29" s="189"/>
      <c r="W29" s="190">
        <v>0</v>
      </c>
      <c r="X29" s="191">
        <v>1</v>
      </c>
      <c r="Y29" s="215" t="s">
        <v>1093</v>
      </c>
      <c r="Z29" s="192"/>
      <c r="AA29" s="97">
        <v>0.75</v>
      </c>
      <c r="AB29" s="193">
        <v>0</v>
      </c>
      <c r="AC29" s="123"/>
      <c r="AD29" s="4"/>
      <c r="AE29" s="4"/>
      <c r="AF29" s="4" t="str">
        <f>" " &amp; TEXT(AB29,"#0.00%") &amp; " " &amp; "회원가입 및 로그인" &amp; "(김소민)" &amp; " " &amp; IF(M29="","",TEXT(M29,"M/D-")) &amp; IF(N29="","",TEXT(N29,"M/D")) &amp; " "</f>
        <v xml:space="preserve"> 0.00% 회원가입 및 로그인(김소민) 3/18-3/21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row>
    <row r="30" spans="1:147" outlineLevel="5">
      <c r="A30" s="116"/>
      <c r="B30" s="116"/>
      <c r="C30" s="116">
        <v>6</v>
      </c>
      <c r="D30" s="3" t="s">
        <v>1110</v>
      </c>
      <c r="E30" s="184"/>
      <c r="F30" s="184"/>
      <c r="G30" s="184"/>
      <c r="H30" s="212"/>
      <c r="I30" s="184"/>
      <c r="J30" s="184" t="s">
        <v>1125</v>
      </c>
      <c r="K30" s="184"/>
      <c r="L30" s="184"/>
      <c r="M30" s="185">
        <v>43545</v>
      </c>
      <c r="N30" s="185">
        <v>43549</v>
      </c>
      <c r="O30" s="186"/>
      <c r="P30" s="187">
        <v>3</v>
      </c>
      <c r="Q30" s="187">
        <v>0</v>
      </c>
      <c r="R30" s="188">
        <v>3</v>
      </c>
      <c r="S30" s="188">
        <v>0</v>
      </c>
      <c r="T30" s="185"/>
      <c r="U30" s="185"/>
      <c r="V30" s="189"/>
      <c r="W30" s="190">
        <v>0</v>
      </c>
      <c r="X30" s="191">
        <v>1</v>
      </c>
      <c r="Y30" s="215" t="s">
        <v>1088</v>
      </c>
      <c r="Z30" s="192"/>
      <c r="AA30" s="97">
        <v>0</v>
      </c>
      <c r="AB30" s="193">
        <v>0</v>
      </c>
      <c r="AC30" s="123"/>
      <c r="AD30" s="4"/>
      <c r="AE30" s="4"/>
      <c r="AF30" s="4" t="str">
        <f>"    " &amp; TEXT(AB30,"#0.00%") &amp; " " &amp; "영상 목록 및 검색" &amp; "(김소민, 김승연)" &amp; " " &amp; IF(M30="","",TEXT(M30,"M/D-")) &amp; IF(N30="","",TEXT(N30,"M/D")) &amp; " "</f>
        <v xml:space="preserve">    0.00% 영상 목록 및 검색(김소민, 김승연) 3/21-3/25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row>
    <row r="31" spans="1:147" outlineLevel="5">
      <c r="A31" s="116"/>
      <c r="B31" s="116"/>
      <c r="C31" s="116">
        <v>6</v>
      </c>
      <c r="D31" s="3" t="s">
        <v>1132</v>
      </c>
      <c r="E31" s="184"/>
      <c r="F31" s="184"/>
      <c r="G31" s="184"/>
      <c r="H31" s="184"/>
      <c r="I31" s="184"/>
      <c r="J31" s="184" t="s">
        <v>1108</v>
      </c>
      <c r="K31" s="184"/>
      <c r="L31" s="184"/>
      <c r="M31" s="185">
        <v>43544</v>
      </c>
      <c r="N31" s="185">
        <v>43552</v>
      </c>
      <c r="O31" s="186"/>
      <c r="P31" s="187">
        <v>7</v>
      </c>
      <c r="Q31" s="187">
        <v>1</v>
      </c>
      <c r="R31" s="188">
        <v>7</v>
      </c>
      <c r="S31" s="188">
        <v>1</v>
      </c>
      <c r="T31" s="185"/>
      <c r="U31" s="185"/>
      <c r="V31" s="189"/>
      <c r="W31" s="190">
        <v>0</v>
      </c>
      <c r="X31" s="191">
        <v>1</v>
      </c>
      <c r="Y31" s="215" t="s">
        <v>1093</v>
      </c>
      <c r="Z31" s="192"/>
      <c r="AA31" s="97">
        <v>0.14285714285714285</v>
      </c>
      <c r="AB31" s="193">
        <v>0</v>
      </c>
      <c r="AC31" s="123"/>
      <c r="AD31" s="4"/>
      <c r="AE31" s="4"/>
      <c r="AF31" s="4" t="str">
        <f>"   " &amp; TEXT(AB31,"#0.00%") &amp; " " &amp; "히스토리 및 구독" &amp; "(김소민)" &amp; " " &amp; IF(M31="","",TEXT(M31,"M/D-")) &amp; IF(N31="","",TEXT(N31,"M/D")) &amp; " "</f>
        <v xml:space="preserve">   0.00% 히스토리 및 구독(김소민) 3/20-3/28 </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row>
    <row r="32" spans="1:147" outlineLevel="5">
      <c r="A32" s="116"/>
      <c r="B32" s="116"/>
      <c r="C32" s="116">
        <v>0</v>
      </c>
      <c r="D32" s="3"/>
      <c r="E32" s="184"/>
      <c r="F32" s="184"/>
      <c r="G32" s="184"/>
      <c r="H32" s="212"/>
      <c r="I32" s="184"/>
      <c r="J32" s="184"/>
      <c r="K32" s="184"/>
      <c r="L32" s="184"/>
      <c r="M32" s="185"/>
      <c r="N32" s="185"/>
      <c r="O32" s="186"/>
      <c r="P32" s="187"/>
      <c r="Q32" s="187"/>
      <c r="R32" s="188">
        <v>0</v>
      </c>
      <c r="S32" s="188">
        <v>0</v>
      </c>
      <c r="T32" s="185"/>
      <c r="U32" s="185"/>
      <c r="V32" s="189"/>
      <c r="W32" s="190">
        <v>0</v>
      </c>
      <c r="X32" s="191"/>
      <c r="Y32" s="215"/>
      <c r="Z32" s="192"/>
      <c r="AA32" s="97"/>
      <c r="AB32" s="193"/>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row>
    <row r="33" spans="1:147" outlineLevel="4">
      <c r="A33" s="116"/>
      <c r="B33" s="116" t="s">
        <v>967</v>
      </c>
      <c r="C33" s="116">
        <v>5</v>
      </c>
      <c r="D33" s="3" t="s">
        <v>1075</v>
      </c>
      <c r="E33" s="184"/>
      <c r="F33" s="184"/>
      <c r="G33" s="184"/>
      <c r="H33" s="184"/>
      <c r="I33" s="184" t="s">
        <v>1099</v>
      </c>
      <c r="J33" s="184"/>
      <c r="K33" s="184"/>
      <c r="L33" s="184"/>
      <c r="M33" s="185">
        <v>43542</v>
      </c>
      <c r="N33" s="185">
        <v>43556</v>
      </c>
      <c r="O33" s="186"/>
      <c r="P33" s="187">
        <v>22</v>
      </c>
      <c r="Q33" s="187">
        <v>4</v>
      </c>
      <c r="R33" s="188">
        <v>11</v>
      </c>
      <c r="S33" s="188">
        <v>3</v>
      </c>
      <c r="T33" s="185"/>
      <c r="U33" s="185"/>
      <c r="V33" s="189">
        <v>0</v>
      </c>
      <c r="W33" s="190">
        <v>0</v>
      </c>
      <c r="X33" s="191"/>
      <c r="Y33" s="215"/>
      <c r="Z33" s="192"/>
      <c r="AA33" s="97">
        <v>0.18181818181818182</v>
      </c>
      <c r="AB33" s="193">
        <v>0</v>
      </c>
      <c r="AC33" s="123"/>
      <c r="AD33" s="4"/>
      <c r="AE33" s="4"/>
      <c r="AF33" s="4" t="str">
        <f>" " &amp; TEXT(AB33,"#0.00%") &amp; " " &amp; "영상 관련 기능" &amp; " " &amp; IF(M33="","",TEXT(M33,"M/D-")) &amp; IF(N33="","",TEXT(N33,"M/D")) &amp; " "</f>
        <v xml:space="preserve"> 0.00% 영상 관련 기능 3/18-4/1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row>
    <row r="34" spans="1:147" outlineLevel="5">
      <c r="A34" s="116"/>
      <c r="B34" s="116"/>
      <c r="C34" s="116">
        <v>6</v>
      </c>
      <c r="D34" s="3" t="s">
        <v>1111</v>
      </c>
      <c r="E34" s="184"/>
      <c r="F34" s="184"/>
      <c r="G34" s="184"/>
      <c r="H34" s="212"/>
      <c r="I34" s="184"/>
      <c r="J34" s="184" t="s">
        <v>1128</v>
      </c>
      <c r="K34" s="184"/>
      <c r="L34" s="184"/>
      <c r="M34" s="185">
        <v>43542</v>
      </c>
      <c r="N34" s="185">
        <v>43544</v>
      </c>
      <c r="O34" s="186"/>
      <c r="P34" s="187">
        <v>3</v>
      </c>
      <c r="Q34" s="187">
        <v>3</v>
      </c>
      <c r="R34" s="188">
        <v>3</v>
      </c>
      <c r="S34" s="188">
        <v>3</v>
      </c>
      <c r="T34" s="185"/>
      <c r="U34" s="185"/>
      <c r="V34" s="189"/>
      <c r="W34" s="190">
        <v>0</v>
      </c>
      <c r="X34" s="191">
        <v>1</v>
      </c>
      <c r="Y34" s="215" t="s">
        <v>1178</v>
      </c>
      <c r="Z34" s="192"/>
      <c r="AA34" s="97">
        <v>1</v>
      </c>
      <c r="AB34" s="193">
        <v>0</v>
      </c>
      <c r="AC34" s="123"/>
      <c r="AD34" s="4"/>
      <c r="AE34" s="4"/>
      <c r="AF34" s="4" t="str">
        <f>" " &amp; TEXT(AB34,"#0.00%") &amp; " " &amp; "업로드 및 스트리밍" &amp; "(김승연, 최찬민)" &amp; " " &amp; IF(M34="","",TEXT(M34,"M/D-")) &amp; IF(N34="","",TEXT(N34,"M/D")) &amp; " "</f>
        <v xml:space="preserve"> 0.00% 업로드 및 스트리밍(김승연, 최찬민) 3/18-3/20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row>
    <row r="35" spans="1:147" outlineLevel="5">
      <c r="A35" s="116"/>
      <c r="B35" s="116"/>
      <c r="C35" s="116">
        <v>6</v>
      </c>
      <c r="D35" s="3" t="s">
        <v>1112</v>
      </c>
      <c r="E35" s="184"/>
      <c r="F35" s="184"/>
      <c r="G35" s="184"/>
      <c r="H35" s="184"/>
      <c r="I35" s="184"/>
      <c r="J35" s="184" t="s">
        <v>1100</v>
      </c>
      <c r="K35" s="184"/>
      <c r="L35" s="184"/>
      <c r="M35" s="185">
        <v>43544</v>
      </c>
      <c r="N35" s="185">
        <v>43546</v>
      </c>
      <c r="O35" s="186"/>
      <c r="P35" s="187">
        <v>3</v>
      </c>
      <c r="Q35" s="187">
        <v>1</v>
      </c>
      <c r="R35" s="188">
        <v>3</v>
      </c>
      <c r="S35" s="188">
        <v>1</v>
      </c>
      <c r="T35" s="185"/>
      <c r="U35" s="185"/>
      <c r="V35" s="189"/>
      <c r="W35" s="190">
        <v>0</v>
      </c>
      <c r="X35" s="191">
        <v>1</v>
      </c>
      <c r="Y35" s="215" t="s">
        <v>1095</v>
      </c>
      <c r="Z35" s="192"/>
      <c r="AA35" s="97">
        <v>0.33333333333333331</v>
      </c>
      <c r="AB35" s="193">
        <v>0</v>
      </c>
      <c r="AC35" s="123"/>
      <c r="AD35" s="4"/>
      <c r="AE35" s="4"/>
      <c r="AF35" s="4" t="str">
        <f>"   " &amp; TEXT(AB35,"#0.00%") &amp; " " &amp; "영상 편집 툴" &amp; "(김승연, 이수재)" &amp; " " &amp; IF(M35="","",TEXT(M35,"M/D-")) &amp; IF(N35="","",TEXT(N35,"M/D")) &amp; " "</f>
        <v xml:space="preserve">   0.00% 영상 편집 툴(김승연, 이수재) 3/20-3/22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row>
    <row r="36" spans="1:147" outlineLevel="5">
      <c r="A36" s="116"/>
      <c r="B36" s="116"/>
      <c r="C36" s="116">
        <v>6</v>
      </c>
      <c r="D36" s="3" t="s">
        <v>1113</v>
      </c>
      <c r="E36" s="184"/>
      <c r="F36" s="184"/>
      <c r="G36" s="184"/>
      <c r="H36" s="184"/>
      <c r="I36" s="184"/>
      <c r="J36" s="184" t="s">
        <v>1101</v>
      </c>
      <c r="K36" s="184"/>
      <c r="L36" s="184"/>
      <c r="M36" s="185">
        <v>43546</v>
      </c>
      <c r="N36" s="185">
        <v>43549</v>
      </c>
      <c r="O36" s="186"/>
      <c r="P36" s="187">
        <v>2</v>
      </c>
      <c r="Q36" s="187">
        <v>0</v>
      </c>
      <c r="R36" s="188">
        <v>2</v>
      </c>
      <c r="S36" s="188">
        <v>0</v>
      </c>
      <c r="T36" s="185"/>
      <c r="U36" s="185"/>
      <c r="V36" s="189"/>
      <c r="W36" s="190">
        <v>0</v>
      </c>
      <c r="X36" s="191">
        <v>1</v>
      </c>
      <c r="Y36" s="215" t="s">
        <v>1094</v>
      </c>
      <c r="Z36" s="192"/>
      <c r="AA36" s="97">
        <v>0</v>
      </c>
      <c r="AB36" s="193">
        <v>0</v>
      </c>
      <c r="AC36" s="123"/>
      <c r="AD36" s="4"/>
      <c r="AE36" s="4"/>
      <c r="AF36" s="4" t="str">
        <f>"     " &amp; TEXT(AB36,"#0.00%") &amp; " " &amp; "자막 상호작용 기능" &amp; "(김승연)" &amp; " " &amp; IF(M36="","",TEXT(M36,"M/D-")) &amp; IF(N36="","",TEXT(N36,"M/D")) &amp; " "</f>
        <v xml:space="preserve">     0.00% 자막 상호작용 기능(김승연) 3/22-3/25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row>
    <row r="37" spans="1:147" outlineLevel="5">
      <c r="A37" s="116"/>
      <c r="B37" s="116"/>
      <c r="C37" s="116">
        <v>6</v>
      </c>
      <c r="D37" s="3" t="s">
        <v>1114</v>
      </c>
      <c r="E37" s="184"/>
      <c r="F37" s="184"/>
      <c r="G37" s="184"/>
      <c r="H37" s="184"/>
      <c r="I37" s="184"/>
      <c r="J37" s="184" t="s">
        <v>1102</v>
      </c>
      <c r="K37" s="184"/>
      <c r="L37" s="184"/>
      <c r="M37" s="185">
        <v>43552</v>
      </c>
      <c r="N37" s="185">
        <v>43556</v>
      </c>
      <c r="O37" s="186"/>
      <c r="P37" s="187">
        <v>3</v>
      </c>
      <c r="Q37" s="187">
        <v>0</v>
      </c>
      <c r="R37" s="188">
        <v>3</v>
      </c>
      <c r="S37" s="188">
        <v>0</v>
      </c>
      <c r="T37" s="185"/>
      <c r="U37" s="185"/>
      <c r="V37" s="189"/>
      <c r="W37" s="190">
        <v>0</v>
      </c>
      <c r="X37" s="191">
        <v>1</v>
      </c>
      <c r="Y37" s="215" t="s">
        <v>1094</v>
      </c>
      <c r="Z37" s="192"/>
      <c r="AA37" s="97">
        <v>0</v>
      </c>
      <c r="AB37" s="193">
        <v>0</v>
      </c>
      <c r="AC37" s="123"/>
      <c r="AD37" s="4"/>
      <c r="AE37" s="4"/>
      <c r="AF37" s="4"/>
      <c r="AG37" s="4" t="str">
        <f>"    " &amp; TEXT(AB37,"#0.00%") &amp; " " &amp; "북마크 기능" &amp; "(김승연)" &amp; " " &amp; IF(M37="","",TEXT(M37,"M/D-")) &amp; IF(N37="","",TEXT(N37,"M/D")) &amp; " "</f>
        <v xml:space="preserve">    0.00% 북마크 기능(김승연) 3/28-4/1 </v>
      </c>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row>
    <row r="38" spans="1:147" outlineLevel="5">
      <c r="A38" s="116"/>
      <c r="B38" s="116"/>
      <c r="C38" s="116">
        <v>6</v>
      </c>
      <c r="D38" s="3" t="s">
        <v>1115</v>
      </c>
      <c r="E38" s="184"/>
      <c r="F38" s="184"/>
      <c r="G38" s="184"/>
      <c r="H38" s="212"/>
      <c r="I38" s="184"/>
      <c r="J38" s="184" t="s">
        <v>1103</v>
      </c>
      <c r="K38" s="184"/>
      <c r="L38" s="184"/>
      <c r="M38" s="185">
        <v>43549</v>
      </c>
      <c r="N38" s="185">
        <v>43552</v>
      </c>
      <c r="O38" s="186"/>
      <c r="P38" s="187">
        <v>4</v>
      </c>
      <c r="Q38" s="187">
        <v>0</v>
      </c>
      <c r="R38" s="188">
        <v>4</v>
      </c>
      <c r="S38" s="188">
        <v>0</v>
      </c>
      <c r="T38" s="185"/>
      <c r="U38" s="185"/>
      <c r="V38" s="189"/>
      <c r="W38" s="190">
        <v>0</v>
      </c>
      <c r="X38" s="191">
        <v>1</v>
      </c>
      <c r="Y38" s="215" t="s">
        <v>1158</v>
      </c>
      <c r="Z38" s="192"/>
      <c r="AA38" s="97">
        <v>0</v>
      </c>
      <c r="AB38" s="193">
        <v>0</v>
      </c>
      <c r="AC38" s="123"/>
      <c r="AD38" s="4"/>
      <c r="AE38" s="4"/>
      <c r="AF38" s="4"/>
      <c r="AG38" s="4" t="str">
        <f>" " &amp; TEXT(AB38,"#0.00%") &amp; " " &amp; "참여형 서비스 기능" &amp; "(김승연, 김소민)" &amp; " " &amp; IF(M38="","",TEXT(M38,"M/D-")) &amp; IF(N38="","",TEXT(N38,"M/D")) &amp; " "</f>
        <v xml:space="preserve"> 0.00% 참여형 서비스 기능(김승연, 김소민) 3/25-3/28 </v>
      </c>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row>
    <row r="39" spans="1:147" outlineLevel="5">
      <c r="A39" s="116"/>
      <c r="B39" s="116"/>
      <c r="C39" s="116">
        <v>6</v>
      </c>
      <c r="D39" s="3" t="s">
        <v>1133</v>
      </c>
      <c r="E39" s="184"/>
      <c r="F39" s="184"/>
      <c r="G39" s="184"/>
      <c r="H39" s="184"/>
      <c r="I39" s="184"/>
      <c r="J39" s="184" t="s">
        <v>1126</v>
      </c>
      <c r="K39" s="184"/>
      <c r="L39" s="184"/>
      <c r="M39" s="185">
        <v>43552</v>
      </c>
      <c r="N39" s="185">
        <v>43556</v>
      </c>
      <c r="O39" s="186"/>
      <c r="P39" s="187">
        <v>3</v>
      </c>
      <c r="Q39" s="187">
        <v>0</v>
      </c>
      <c r="R39" s="188">
        <v>3</v>
      </c>
      <c r="S39" s="188">
        <v>0</v>
      </c>
      <c r="T39" s="185"/>
      <c r="U39" s="185"/>
      <c r="V39" s="189"/>
      <c r="W39" s="190">
        <v>0</v>
      </c>
      <c r="X39" s="191">
        <v>1</v>
      </c>
      <c r="Y39" s="215" t="s">
        <v>1158</v>
      </c>
      <c r="Z39" s="192"/>
      <c r="AA39" s="97">
        <v>0</v>
      </c>
      <c r="AB39" s="193">
        <v>0</v>
      </c>
      <c r="AC39" s="123"/>
      <c r="AD39" s="4"/>
      <c r="AE39" s="4"/>
      <c r="AF39" s="4"/>
      <c r="AG39" s="4" t="str">
        <f>"    " &amp; TEXT(AB39,"#0.00%") &amp; " " &amp; "영상 편집 문법 검색 서비스 추가" &amp; "(김승연, 김소민)" &amp; " " &amp; IF(M39="","",TEXT(M39,"M/D-")) &amp; IF(N39="","",TEXT(N39,"M/D")) &amp; " "</f>
        <v xml:space="preserve">    0.00% 영상 편집 문법 검색 서비스 추가(김승연, 김소민) 3/28-4/1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row>
    <row r="40" spans="1:147" outlineLevel="5">
      <c r="A40" s="116"/>
      <c r="B40" s="116"/>
      <c r="C40" s="116">
        <v>6</v>
      </c>
      <c r="D40" s="3" t="s">
        <v>1134</v>
      </c>
      <c r="E40" s="184"/>
      <c r="F40" s="184"/>
      <c r="G40" s="184"/>
      <c r="H40" s="212"/>
      <c r="I40" s="184"/>
      <c r="J40" s="184" t="s">
        <v>1051</v>
      </c>
      <c r="K40" s="184"/>
      <c r="L40" s="184"/>
      <c r="M40" s="185">
        <v>43545</v>
      </c>
      <c r="N40" s="185">
        <v>43550</v>
      </c>
      <c r="O40" s="186"/>
      <c r="P40" s="187">
        <v>4</v>
      </c>
      <c r="Q40" s="187">
        <v>0</v>
      </c>
      <c r="R40" s="188">
        <v>4</v>
      </c>
      <c r="S40" s="188">
        <v>0</v>
      </c>
      <c r="T40" s="185"/>
      <c r="U40" s="185"/>
      <c r="V40" s="189"/>
      <c r="W40" s="190">
        <v>0</v>
      </c>
      <c r="X40" s="191">
        <v>1</v>
      </c>
      <c r="Y40" s="186" t="s">
        <v>1095</v>
      </c>
      <c r="Z40" s="192"/>
      <c r="AA40" s="97">
        <v>0</v>
      </c>
      <c r="AB40" s="193">
        <v>0</v>
      </c>
      <c r="AC40" s="123"/>
      <c r="AD40" s="4"/>
      <c r="AE40" s="4"/>
      <c r="AF40" s="4" t="str">
        <f>"    " &amp; TEXT(AB40,"#0.00%") &amp; " " &amp; "자막 싱크 교정" &amp; "(김승연, 이수재)" &amp; " " &amp; IF(M40="","",TEXT(M40,"M/D-")) &amp; IF(N40="","",TEXT(N40,"M/D")) &amp; " "</f>
        <v xml:space="preserve">    0.00% 자막 싱크 교정(김승연, 이수재) 3/21-3/26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row>
    <row r="41" spans="1:147" outlineLevel="5">
      <c r="A41" s="116"/>
      <c r="B41" s="116"/>
      <c r="C41" s="116">
        <v>0</v>
      </c>
      <c r="D41" s="3"/>
      <c r="E41" s="184"/>
      <c r="F41" s="184"/>
      <c r="G41" s="184"/>
      <c r="H41" s="184"/>
      <c r="I41" s="184"/>
      <c r="J41" s="184"/>
      <c r="K41" s="184"/>
      <c r="L41" s="184"/>
      <c r="M41" s="185"/>
      <c r="N41" s="185"/>
      <c r="O41" s="186"/>
      <c r="P41" s="187"/>
      <c r="Q41" s="187"/>
      <c r="R41" s="188">
        <v>0</v>
      </c>
      <c r="S41" s="188">
        <v>0</v>
      </c>
      <c r="T41" s="185"/>
      <c r="U41" s="185"/>
      <c r="V41" s="189"/>
      <c r="W41" s="190">
        <v>0</v>
      </c>
      <c r="X41" s="191"/>
      <c r="Y41" s="215"/>
      <c r="Z41" s="192"/>
      <c r="AA41" s="97"/>
      <c r="AB41" s="193"/>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row>
    <row r="42" spans="1:147" outlineLevel="4">
      <c r="A42" s="116"/>
      <c r="B42" s="116" t="s">
        <v>967</v>
      </c>
      <c r="C42" s="116">
        <v>5</v>
      </c>
      <c r="D42" s="3" t="s">
        <v>1076</v>
      </c>
      <c r="E42" s="184"/>
      <c r="F42" s="184"/>
      <c r="G42" s="184"/>
      <c r="H42" s="184"/>
      <c r="I42" s="184" t="s">
        <v>1104</v>
      </c>
      <c r="J42" s="184"/>
      <c r="K42" s="184"/>
      <c r="L42" s="184"/>
      <c r="M42" s="185">
        <v>43550</v>
      </c>
      <c r="N42" s="185">
        <v>43565</v>
      </c>
      <c r="O42" s="186"/>
      <c r="P42" s="187">
        <v>17</v>
      </c>
      <c r="Q42" s="187">
        <v>0</v>
      </c>
      <c r="R42" s="188">
        <v>12</v>
      </c>
      <c r="S42" s="188">
        <v>0</v>
      </c>
      <c r="T42" s="185"/>
      <c r="U42" s="185"/>
      <c r="V42" s="189">
        <v>0</v>
      </c>
      <c r="W42" s="190">
        <v>0</v>
      </c>
      <c r="X42" s="191"/>
      <c r="Y42" s="215"/>
      <c r="Z42" s="192"/>
      <c r="AA42" s="97">
        <v>0</v>
      </c>
      <c r="AB42" s="193">
        <v>0</v>
      </c>
      <c r="AC42" s="123"/>
      <c r="AD42" s="4"/>
      <c r="AE42" s="4"/>
      <c r="AF42" s="4"/>
      <c r="AG42" s="4" t="str">
        <f>"  " &amp; TEXT(AB42,"#0.00%") &amp; " " &amp; "어학 관련 기능" &amp; " " &amp; IF(M42="","",TEXT(M42,"M/D-")) &amp; IF(N42="","",TEXT(N42,"M/D")) &amp; " "</f>
        <v xml:space="preserve">  0.00% 어학 관련 기능 3/26-4/10 </v>
      </c>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row>
    <row r="43" spans="1:147" outlineLevel="5">
      <c r="A43" s="116"/>
      <c r="B43" s="116"/>
      <c r="C43" s="116">
        <v>6</v>
      </c>
      <c r="D43" s="3" t="s">
        <v>1116</v>
      </c>
      <c r="E43" s="184"/>
      <c r="F43" s="184"/>
      <c r="G43" s="184"/>
      <c r="H43" s="212"/>
      <c r="I43" s="184"/>
      <c r="J43" s="214" t="s">
        <v>1123</v>
      </c>
      <c r="K43" s="184"/>
      <c r="L43" s="184"/>
      <c r="M43" s="185">
        <v>43556</v>
      </c>
      <c r="N43" s="185">
        <v>43558</v>
      </c>
      <c r="O43" s="186"/>
      <c r="P43" s="187">
        <v>3</v>
      </c>
      <c r="Q43" s="187">
        <v>0</v>
      </c>
      <c r="R43" s="188">
        <v>3</v>
      </c>
      <c r="S43" s="188">
        <v>0</v>
      </c>
      <c r="T43" s="185"/>
      <c r="U43" s="185"/>
      <c r="V43" s="189"/>
      <c r="W43" s="190">
        <v>0</v>
      </c>
      <c r="X43" s="191">
        <v>1</v>
      </c>
      <c r="Y43" s="215" t="s">
        <v>1096</v>
      </c>
      <c r="Z43" s="192"/>
      <c r="AA43" s="97">
        <v>0</v>
      </c>
      <c r="AB43" s="193">
        <v>0</v>
      </c>
      <c r="AC43" s="123"/>
      <c r="AD43" s="4"/>
      <c r="AE43" s="4"/>
      <c r="AF43" s="4"/>
      <c r="AG43" s="4"/>
      <c r="AH43" s="4" t="str">
        <f>" " &amp; TEXT(AB43,"#0.00%") &amp; " " &amp; "단어장 관리" &amp; "(김소민, 이수재)" &amp; " " &amp; IF(M43="","",TEXT(M43,"M/D-")) &amp; IF(N43="","",TEXT(N43,"M/D")) &amp; " "</f>
        <v xml:space="preserve"> 0.00% 단어장 관리(김소민, 이수재) 4/1-4/3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row>
    <row r="44" spans="1:147" outlineLevel="5">
      <c r="A44" s="116"/>
      <c r="B44" s="116"/>
      <c r="C44" s="116">
        <v>6</v>
      </c>
      <c r="D44" s="3" t="s">
        <v>1117</v>
      </c>
      <c r="E44" s="184"/>
      <c r="F44" s="184"/>
      <c r="G44" s="184"/>
      <c r="H44" s="184"/>
      <c r="I44" s="184"/>
      <c r="J44" s="184" t="s">
        <v>1106</v>
      </c>
      <c r="K44" s="184"/>
      <c r="L44" s="184"/>
      <c r="M44" s="185">
        <v>43550</v>
      </c>
      <c r="N44" s="185">
        <v>43553</v>
      </c>
      <c r="O44" s="186"/>
      <c r="P44" s="187">
        <v>4</v>
      </c>
      <c r="Q44" s="187">
        <v>0</v>
      </c>
      <c r="R44" s="188">
        <v>4</v>
      </c>
      <c r="S44" s="188">
        <v>0</v>
      </c>
      <c r="T44" s="185"/>
      <c r="U44" s="185"/>
      <c r="V44" s="189"/>
      <c r="W44" s="190">
        <v>0</v>
      </c>
      <c r="X44" s="191">
        <v>1</v>
      </c>
      <c r="Y44" s="215" t="s">
        <v>1094</v>
      </c>
      <c r="Z44" s="192"/>
      <c r="AA44" s="97">
        <v>0</v>
      </c>
      <c r="AB44" s="193">
        <v>0</v>
      </c>
      <c r="AC44" s="123"/>
      <c r="AD44" s="4"/>
      <c r="AE44" s="4"/>
      <c r="AF44" s="4"/>
      <c r="AG44" s="4" t="str">
        <f>"  " &amp; TEXT(AB44,"#0.00%") &amp; " " &amp; "공동 문법 기능" &amp; "(김승연)" &amp; " " &amp; IF(M44="","",TEXT(M44,"M/D-")) &amp; IF(N44="","",TEXT(N44,"M/D")) &amp; " "</f>
        <v xml:space="preserve">  0.00% 공동 문법 기능(김승연) 3/26-3/29 </v>
      </c>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row>
    <row r="45" spans="1:147" outlineLevel="5">
      <c r="A45" s="116"/>
      <c r="B45" s="116"/>
      <c r="C45" s="116">
        <v>6</v>
      </c>
      <c r="D45" s="3" t="s">
        <v>1118</v>
      </c>
      <c r="E45" s="184"/>
      <c r="F45" s="184"/>
      <c r="G45" s="184"/>
      <c r="H45" s="184"/>
      <c r="I45" s="184"/>
      <c r="J45" s="184" t="s">
        <v>1105</v>
      </c>
      <c r="K45" s="184"/>
      <c r="L45" s="184"/>
      <c r="M45" s="185">
        <v>43558</v>
      </c>
      <c r="N45" s="185">
        <v>43560</v>
      </c>
      <c r="O45" s="186"/>
      <c r="P45" s="187">
        <v>3</v>
      </c>
      <c r="Q45" s="187">
        <v>0</v>
      </c>
      <c r="R45" s="188">
        <v>3</v>
      </c>
      <c r="S45" s="188">
        <v>0</v>
      </c>
      <c r="T45" s="185"/>
      <c r="U45" s="185"/>
      <c r="V45" s="189"/>
      <c r="W45" s="190">
        <v>0</v>
      </c>
      <c r="X45" s="191">
        <v>1</v>
      </c>
      <c r="Y45" s="215" t="s">
        <v>1093</v>
      </c>
      <c r="Z45" s="192"/>
      <c r="AA45" s="97">
        <v>0</v>
      </c>
      <c r="AB45" s="193">
        <v>0</v>
      </c>
      <c r="AC45" s="123"/>
      <c r="AD45" s="4"/>
      <c r="AE45" s="4"/>
      <c r="AF45" s="4"/>
      <c r="AG45" s="4"/>
      <c r="AH45" s="4" t="str">
        <f>"   " &amp; TEXT(AB45,"#0.00%") &amp; " " &amp; "대사집 및 문법집" &amp; "(김소민)" &amp; " " &amp; IF(M45="","",TEXT(M45,"M/D-")) &amp; IF(N45="","",TEXT(N45,"M/D")) &amp; " "</f>
        <v xml:space="preserve">   0.00% 대사집 및 문법집(김소민) 4/3-4/5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row>
    <row r="46" spans="1:147" outlineLevel="5">
      <c r="A46" s="116"/>
      <c r="B46" s="116"/>
      <c r="C46" s="116">
        <v>6</v>
      </c>
      <c r="D46" s="3" t="s">
        <v>1119</v>
      </c>
      <c r="E46" s="184"/>
      <c r="F46" s="184"/>
      <c r="G46" s="184"/>
      <c r="H46" s="184"/>
      <c r="I46" s="184"/>
      <c r="J46" s="214" t="s">
        <v>1097</v>
      </c>
      <c r="K46" s="184"/>
      <c r="L46" s="184"/>
      <c r="M46" s="185">
        <v>43560</v>
      </c>
      <c r="N46" s="185">
        <v>43564</v>
      </c>
      <c r="O46" s="186"/>
      <c r="P46" s="187">
        <v>3</v>
      </c>
      <c r="Q46" s="187">
        <v>0</v>
      </c>
      <c r="R46" s="188">
        <v>3</v>
      </c>
      <c r="S46" s="188">
        <v>0</v>
      </c>
      <c r="T46" s="185"/>
      <c r="U46" s="185"/>
      <c r="V46" s="189"/>
      <c r="W46" s="190">
        <v>0</v>
      </c>
      <c r="X46" s="191">
        <v>1</v>
      </c>
      <c r="Y46" s="215" t="s">
        <v>1093</v>
      </c>
      <c r="Z46" s="192"/>
      <c r="AA46" s="97">
        <v>0</v>
      </c>
      <c r="AB46" s="193">
        <v>0</v>
      </c>
      <c r="AC46" s="123"/>
      <c r="AD46" s="4"/>
      <c r="AE46" s="4"/>
      <c r="AF46" s="4"/>
      <c r="AG46" s="4"/>
      <c r="AH46" s="4" t="str">
        <f>"     " &amp; TEXT(AB46,"#0.00%") &amp; " " &amp; "마이페이지" &amp; "(김소민)" &amp; " " &amp; IF(M46="","",TEXT(M46,"M/D-")) &amp; IF(N46="","",TEXT(N46,"M/D")) &amp; " "</f>
        <v xml:space="preserve">     0.00% 마이페이지(김소민) 4/5-4/9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row>
    <row r="47" spans="1:147" outlineLevel="5">
      <c r="A47" s="116"/>
      <c r="B47" s="116"/>
      <c r="C47" s="116">
        <v>6</v>
      </c>
      <c r="D47" s="3" t="s">
        <v>1120</v>
      </c>
      <c r="E47" s="184"/>
      <c r="F47" s="184"/>
      <c r="G47" s="184"/>
      <c r="H47" s="184"/>
      <c r="I47" s="184"/>
      <c r="J47" s="184" t="s">
        <v>1124</v>
      </c>
      <c r="K47" s="184"/>
      <c r="L47" s="184"/>
      <c r="M47" s="185">
        <v>43560</v>
      </c>
      <c r="N47" s="185">
        <v>43563</v>
      </c>
      <c r="O47" s="186"/>
      <c r="P47" s="187">
        <v>2</v>
      </c>
      <c r="Q47" s="187">
        <v>0</v>
      </c>
      <c r="R47" s="188">
        <v>2</v>
      </c>
      <c r="S47" s="188">
        <v>0</v>
      </c>
      <c r="T47" s="185"/>
      <c r="U47" s="185"/>
      <c r="V47" s="189"/>
      <c r="W47" s="190">
        <v>0</v>
      </c>
      <c r="X47" s="191">
        <v>1</v>
      </c>
      <c r="Y47" s="215" t="s">
        <v>1088</v>
      </c>
      <c r="Z47" s="192"/>
      <c r="AA47" s="97">
        <v>0</v>
      </c>
      <c r="AB47" s="193">
        <v>0</v>
      </c>
      <c r="AC47" s="123"/>
      <c r="AD47" s="4"/>
      <c r="AE47" s="4"/>
      <c r="AF47" s="4"/>
      <c r="AG47" s="4"/>
      <c r="AH47" s="4" t="str">
        <f>"     " &amp; TEXT(AB47,"#0.00%") &amp; " " &amp; "어휘 시험" &amp; "(김소민, 김승연)" &amp; " " &amp; IF(M47="","",TEXT(M47,"M/D-")) &amp; IF(N47="","",TEXT(N47,"M/D")) &amp; " "</f>
        <v xml:space="preserve">     0.00% 어휘 시험(김소민, 김승연) 4/5-4/8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row>
    <row r="48" spans="1:147" outlineLevel="5">
      <c r="A48" s="116"/>
      <c r="B48" s="116"/>
      <c r="C48" s="116">
        <v>6</v>
      </c>
      <c r="D48" s="3" t="s">
        <v>1121</v>
      </c>
      <c r="E48" s="184"/>
      <c r="F48" s="184"/>
      <c r="G48" s="184"/>
      <c r="H48" s="184"/>
      <c r="I48" s="184"/>
      <c r="J48" s="184" t="s">
        <v>1107</v>
      </c>
      <c r="K48" s="184"/>
      <c r="L48" s="184"/>
      <c r="M48" s="185">
        <v>43564</v>
      </c>
      <c r="N48" s="185">
        <v>43565</v>
      </c>
      <c r="O48" s="186"/>
      <c r="P48" s="187">
        <v>2</v>
      </c>
      <c r="Q48" s="187">
        <v>0</v>
      </c>
      <c r="R48" s="188">
        <v>2</v>
      </c>
      <c r="S48" s="188">
        <v>0</v>
      </c>
      <c r="T48" s="185"/>
      <c r="U48" s="185"/>
      <c r="V48" s="189"/>
      <c r="W48" s="190">
        <v>0</v>
      </c>
      <c r="X48" s="191">
        <v>1</v>
      </c>
      <c r="Y48" s="215" t="s">
        <v>1158</v>
      </c>
      <c r="Z48" s="192"/>
      <c r="AA48" s="97">
        <v>0</v>
      </c>
      <c r="AB48" s="193">
        <v>0</v>
      </c>
      <c r="AC48" s="123"/>
      <c r="AD48" s="4"/>
      <c r="AE48" s="4"/>
      <c r="AF48" s="4"/>
      <c r="AG48" s="4"/>
      <c r="AH48" s="4"/>
      <c r="AI48" s="4" t="str">
        <f>"  " &amp; TEXT(AB48,"#0.00%") &amp; " " &amp; "성취도 및 성적" &amp; "(김승연, 김소민)" &amp; " " &amp; IF(M48="","",TEXT(M48,"M/D-")) &amp; IF(N48="","",TEXT(N48,"M/D")) &amp; " "</f>
        <v xml:space="preserve">  0.00% 성취도 및 성적(김승연, 김소민) 4/9-4/10 </v>
      </c>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row>
    <row r="49" spans="1:147" outlineLevel="5">
      <c r="A49" s="116"/>
      <c r="B49" s="116"/>
      <c r="C49" s="116">
        <v>0</v>
      </c>
      <c r="D49" s="207"/>
      <c r="E49" s="184"/>
      <c r="F49" s="184"/>
      <c r="G49" s="184"/>
      <c r="H49" s="184"/>
      <c r="I49" s="184"/>
      <c r="J49" s="184"/>
      <c r="K49" s="184"/>
      <c r="L49" s="184"/>
      <c r="M49" s="185"/>
      <c r="N49" s="185"/>
      <c r="O49" s="186"/>
      <c r="P49" s="187"/>
      <c r="Q49" s="187"/>
      <c r="R49" s="188">
        <v>0</v>
      </c>
      <c r="S49" s="188">
        <v>0</v>
      </c>
      <c r="T49" s="185"/>
      <c r="U49" s="185"/>
      <c r="V49" s="189"/>
      <c r="W49" s="190">
        <v>0</v>
      </c>
      <c r="X49" s="191"/>
      <c r="Y49" s="186"/>
      <c r="Z49" s="192"/>
      <c r="AA49" s="97"/>
      <c r="AB49" s="193"/>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row>
    <row r="50" spans="1:147" outlineLevel="3">
      <c r="A50" s="116"/>
      <c r="B50" s="116" t="s">
        <v>967</v>
      </c>
      <c r="C50" s="116">
        <v>4</v>
      </c>
      <c r="D50" s="3" t="s">
        <v>965</v>
      </c>
      <c r="E50" s="184"/>
      <c r="F50" s="184"/>
      <c r="G50" s="184"/>
      <c r="H50" s="212" t="s">
        <v>1066</v>
      </c>
      <c r="I50" s="184"/>
      <c r="J50" s="184"/>
      <c r="K50" s="184"/>
      <c r="L50" s="184"/>
      <c r="M50" s="185">
        <v>43535</v>
      </c>
      <c r="N50" s="185">
        <v>43565</v>
      </c>
      <c r="O50" s="186"/>
      <c r="P50" s="187">
        <v>66</v>
      </c>
      <c r="Q50" s="187">
        <v>20</v>
      </c>
      <c r="R50" s="188">
        <v>23</v>
      </c>
      <c r="S50" s="188">
        <v>8</v>
      </c>
      <c r="T50" s="185"/>
      <c r="U50" s="185"/>
      <c r="V50" s="189">
        <v>0</v>
      </c>
      <c r="W50" s="190">
        <v>0</v>
      </c>
      <c r="X50" s="191"/>
      <c r="Y50" s="186"/>
      <c r="Z50" s="192"/>
      <c r="AA50" s="97">
        <v>0.30303030303030304</v>
      </c>
      <c r="AB50" s="193">
        <v>0.14393939393939395</v>
      </c>
      <c r="AC50" s="123"/>
      <c r="AD50" s="4"/>
      <c r="AE50" s="4" t="str">
        <f>"     " &amp; TEXT(AB50,"#0.00%") &amp; " "</f>
        <v xml:space="preserve">     14.39% </v>
      </c>
      <c r="AF50" s="4"/>
      <c r="AG50" s="4"/>
      <c r="AH50" s="4"/>
      <c r="AI50" s="4" t="str">
        <f>"    " &amp; "백엔드" &amp; " " &amp; IF(M50="","",TEXT(M50,"M/D-")) &amp; IF(N50="","",TEXT(N50,"M/D")) &amp; " "</f>
        <v xml:space="preserve">    백엔드 3/11-4/10 </v>
      </c>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row>
    <row r="51" spans="1:147" outlineLevel="4">
      <c r="A51" s="116"/>
      <c r="B51" s="116" t="s">
        <v>967</v>
      </c>
      <c r="C51" s="116">
        <v>5</v>
      </c>
      <c r="D51" s="3" t="s">
        <v>1077</v>
      </c>
      <c r="E51" s="184"/>
      <c r="F51" s="184"/>
      <c r="G51" s="184"/>
      <c r="H51" s="212"/>
      <c r="I51" s="214" t="s">
        <v>1122</v>
      </c>
      <c r="J51" s="184"/>
      <c r="K51" s="184"/>
      <c r="L51" s="184"/>
      <c r="M51" s="185">
        <v>43542</v>
      </c>
      <c r="N51" s="185">
        <v>43552</v>
      </c>
      <c r="O51" s="186"/>
      <c r="P51" s="187">
        <v>18</v>
      </c>
      <c r="Q51" s="187">
        <v>8</v>
      </c>
      <c r="R51" s="188">
        <v>9</v>
      </c>
      <c r="S51" s="188">
        <v>3</v>
      </c>
      <c r="T51" s="185"/>
      <c r="U51" s="185"/>
      <c r="V51" s="189">
        <v>0</v>
      </c>
      <c r="W51" s="190">
        <v>0</v>
      </c>
      <c r="X51" s="191"/>
      <c r="Y51" s="186"/>
      <c r="Z51" s="192"/>
      <c r="AA51" s="97">
        <v>0.44444444444444442</v>
      </c>
      <c r="AB51" s="193">
        <v>8.3333333333333329E-2</v>
      </c>
      <c r="AC51" s="123"/>
      <c r="AD51" s="4"/>
      <c r="AE51" s="4"/>
      <c r="AF51" s="4" t="str">
        <f>"  " &amp; TEXT(AB51,"#0.00%") &amp; " " &amp; "기본기능" &amp; " " &amp; IF(M51="","",TEXT(M51,"M/D-")) &amp; IF(N51="","",TEXT(N51,"M/D")) &amp; " "</f>
        <v xml:space="preserve">  8.33% 기본기능 3/18-3/28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row>
    <row r="52" spans="1:147" outlineLevel="5">
      <c r="A52" s="116"/>
      <c r="B52" s="116"/>
      <c r="C52" s="116">
        <v>6</v>
      </c>
      <c r="D52" s="3" t="s">
        <v>1135</v>
      </c>
      <c r="E52" s="184"/>
      <c r="F52" s="184"/>
      <c r="G52" s="184"/>
      <c r="H52" s="212"/>
      <c r="I52" s="184"/>
      <c r="J52" s="184" t="s">
        <v>1067</v>
      </c>
      <c r="K52" s="184"/>
      <c r="L52" s="184"/>
      <c r="M52" s="185">
        <v>43542</v>
      </c>
      <c r="N52" s="185">
        <v>43544</v>
      </c>
      <c r="O52" s="186"/>
      <c r="P52" s="187">
        <v>3</v>
      </c>
      <c r="Q52" s="187">
        <v>3</v>
      </c>
      <c r="R52" s="188">
        <v>3</v>
      </c>
      <c r="S52" s="188">
        <v>3</v>
      </c>
      <c r="T52" s="185"/>
      <c r="U52" s="185"/>
      <c r="V52" s="189"/>
      <c r="W52" s="190">
        <v>0</v>
      </c>
      <c r="X52" s="191">
        <v>1</v>
      </c>
      <c r="Y52" s="215" t="s">
        <v>1154</v>
      </c>
      <c r="Z52" s="192"/>
      <c r="AA52" s="97">
        <v>1</v>
      </c>
      <c r="AB52" s="193">
        <v>0</v>
      </c>
      <c r="AC52" s="123"/>
      <c r="AD52" s="4"/>
      <c r="AE52" s="4"/>
      <c r="AF52" s="4" t="str">
        <f>" " &amp; TEXT(AB52,"#0.00%") &amp; " " &amp; "DB구현" &amp; "(이수재, 조혜경)" &amp; " " &amp; IF(M52="","",TEXT(M52,"M/D-")) &amp; IF(N52="","",TEXT(N52,"M/D")) &amp; " "</f>
        <v xml:space="preserve"> 0.00% DB구현(이수재, 조혜경) 3/18-3/20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row>
    <row r="53" spans="1:147" outlineLevel="5">
      <c r="A53" s="116"/>
      <c r="B53" s="116"/>
      <c r="C53" s="116">
        <v>6</v>
      </c>
      <c r="D53" s="3" t="s">
        <v>1136</v>
      </c>
      <c r="E53" s="184"/>
      <c r="F53" s="184"/>
      <c r="G53" s="184"/>
      <c r="H53" s="212"/>
      <c r="I53" s="184"/>
      <c r="J53" s="184" t="s">
        <v>1068</v>
      </c>
      <c r="K53" s="184"/>
      <c r="L53" s="184"/>
      <c r="M53" s="185">
        <v>43542</v>
      </c>
      <c r="N53" s="185">
        <v>43544</v>
      </c>
      <c r="O53" s="186"/>
      <c r="P53" s="187">
        <v>3</v>
      </c>
      <c r="Q53" s="187">
        <v>3</v>
      </c>
      <c r="R53" s="188">
        <v>3</v>
      </c>
      <c r="S53" s="188">
        <v>3</v>
      </c>
      <c r="T53" s="185"/>
      <c r="U53" s="185"/>
      <c r="V53" s="189"/>
      <c r="W53" s="190">
        <v>0</v>
      </c>
      <c r="X53" s="191">
        <v>1</v>
      </c>
      <c r="Y53" s="186" t="s">
        <v>1090</v>
      </c>
      <c r="Z53" s="192"/>
      <c r="AA53" s="97">
        <v>1</v>
      </c>
      <c r="AB53" s="193">
        <v>0.5</v>
      </c>
      <c r="AC53" s="123"/>
      <c r="AD53" s="4"/>
      <c r="AE53" s="4"/>
      <c r="AF53" s="4" t="str">
        <f>"   " &amp; TEXT(AB53,"#0.00%") &amp; " " &amp; "API서버 구현" &amp; "(최찬민, 조혜경)" &amp; " " &amp; IF(M53="","",TEXT(M53,"M/D-")) &amp; IF(N53="","",TEXT(N53,"M/D")) &amp; " "</f>
        <v xml:space="preserve">   50.00% API서버 구현(최찬민, 조혜경) 3/18-3/20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row>
    <row r="54" spans="1:147" outlineLevel="5">
      <c r="A54" s="116"/>
      <c r="B54" s="116"/>
      <c r="C54" s="116">
        <v>6</v>
      </c>
      <c r="D54" s="3" t="s">
        <v>1137</v>
      </c>
      <c r="E54" s="184"/>
      <c r="F54" s="184"/>
      <c r="G54" s="184"/>
      <c r="H54" s="212"/>
      <c r="I54" s="184"/>
      <c r="J54" s="184" t="s">
        <v>1127</v>
      </c>
      <c r="K54" s="184"/>
      <c r="L54" s="184"/>
      <c r="M54" s="185">
        <v>43544</v>
      </c>
      <c r="N54" s="185">
        <v>43545</v>
      </c>
      <c r="O54" s="186"/>
      <c r="P54" s="187">
        <v>2</v>
      </c>
      <c r="Q54" s="187">
        <v>1</v>
      </c>
      <c r="R54" s="188">
        <v>2</v>
      </c>
      <c r="S54" s="188">
        <v>1</v>
      </c>
      <c r="T54" s="185"/>
      <c r="U54" s="185"/>
      <c r="V54" s="189"/>
      <c r="W54" s="190">
        <v>0</v>
      </c>
      <c r="X54" s="191">
        <v>1</v>
      </c>
      <c r="Y54" s="215" t="s">
        <v>1155</v>
      </c>
      <c r="Z54" s="192"/>
      <c r="AA54" s="97">
        <v>0.5</v>
      </c>
      <c r="AB54" s="193">
        <v>0</v>
      </c>
      <c r="AC54" s="123"/>
      <c r="AD54" s="4"/>
      <c r="AE54" s="4"/>
      <c r="AF54" s="4" t="str">
        <f>"   " &amp; TEXT(AB54,"#0.00%") &amp; " " &amp; "회원가입 및 로그인" &amp; "(조혜경)" &amp; " " &amp; IF(M54="","",TEXT(M54,"M/D-")) &amp; IF(N54="","",TEXT(N54,"M/D")) &amp; " "</f>
        <v xml:space="preserve">   0.00% 회원가입 및 로그인(조혜경) 3/20-3/21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row>
    <row r="55" spans="1:147" outlineLevel="5">
      <c r="A55" s="116"/>
      <c r="B55" s="116"/>
      <c r="C55" s="116">
        <v>6</v>
      </c>
      <c r="D55" s="3" t="s">
        <v>1138</v>
      </c>
      <c r="E55" s="184"/>
      <c r="F55" s="184"/>
      <c r="G55" s="184"/>
      <c r="H55" s="212"/>
      <c r="I55" s="184"/>
      <c r="J55" s="184" t="s">
        <v>1125</v>
      </c>
      <c r="K55" s="184"/>
      <c r="L55" s="184"/>
      <c r="M55" s="185">
        <v>43545</v>
      </c>
      <c r="N55" s="185">
        <v>43549</v>
      </c>
      <c r="O55" s="186"/>
      <c r="P55" s="187">
        <v>3</v>
      </c>
      <c r="Q55" s="187">
        <v>0</v>
      </c>
      <c r="R55" s="188">
        <v>3</v>
      </c>
      <c r="S55" s="188">
        <v>0</v>
      </c>
      <c r="T55" s="185"/>
      <c r="U55" s="185"/>
      <c r="V55" s="189"/>
      <c r="W55" s="190">
        <v>0</v>
      </c>
      <c r="X55" s="191">
        <v>1</v>
      </c>
      <c r="Y55" s="215" t="s">
        <v>1155</v>
      </c>
      <c r="Z55" s="192"/>
      <c r="AA55" s="97">
        <v>0</v>
      </c>
      <c r="AB55" s="193">
        <v>0</v>
      </c>
      <c r="AC55" s="123"/>
      <c r="AD55" s="4"/>
      <c r="AE55" s="4"/>
      <c r="AF55" s="4" t="str">
        <f>"    " &amp; TEXT(AB55,"#0.00%") &amp; " " &amp; "영상 목록 및 검색" &amp; "(조혜경)" &amp; " " &amp; IF(M55="","",TEXT(M55,"M/D-")) &amp; IF(N55="","",TEXT(N55,"M/D")) &amp; " "</f>
        <v xml:space="preserve">    0.00% 영상 목록 및 검색(조혜경) 3/21-3/25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row>
    <row r="56" spans="1:147" outlineLevel="5">
      <c r="A56" s="116"/>
      <c r="B56" s="116"/>
      <c r="C56" s="116">
        <v>6</v>
      </c>
      <c r="D56" s="3" t="s">
        <v>1139</v>
      </c>
      <c r="E56" s="184"/>
      <c r="F56" s="184"/>
      <c r="G56" s="184"/>
      <c r="H56" s="212"/>
      <c r="I56" s="184"/>
      <c r="J56" s="184" t="s">
        <v>1150</v>
      </c>
      <c r="K56" s="184"/>
      <c r="L56" s="184"/>
      <c r="M56" s="185">
        <v>43544</v>
      </c>
      <c r="N56" s="185">
        <v>43552</v>
      </c>
      <c r="O56" s="186"/>
      <c r="P56" s="187">
        <v>7</v>
      </c>
      <c r="Q56" s="187">
        <v>1</v>
      </c>
      <c r="R56" s="188">
        <v>7</v>
      </c>
      <c r="S56" s="188">
        <v>1</v>
      </c>
      <c r="T56" s="185"/>
      <c r="U56" s="185"/>
      <c r="V56" s="189"/>
      <c r="W56" s="190">
        <v>0</v>
      </c>
      <c r="X56" s="191">
        <v>1</v>
      </c>
      <c r="Y56" s="186" t="s">
        <v>1157</v>
      </c>
      <c r="Z56" s="192"/>
      <c r="AA56" s="97">
        <v>0.14285714285714285</v>
      </c>
      <c r="AB56" s="193">
        <v>0</v>
      </c>
      <c r="AC56" s="123"/>
      <c r="AD56" s="4"/>
      <c r="AE56" s="4"/>
      <c r="AF56" s="4" t="str">
        <f>"   " &amp; TEXT(AB56,"#0.00%") &amp; " " &amp; "히스토리 및 구독 서비스" &amp; "(최찬민, 이수재)" &amp; " " &amp; IF(M56="","",TEXT(M56,"M/D-")) &amp; IF(N56="","",TEXT(N56,"M/D")) &amp; " "</f>
        <v xml:space="preserve">   0.00% 히스토리 및 구독 서비스(최찬민, 이수재) 3/20-3/28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row>
    <row r="57" spans="1:147" outlineLevel="5">
      <c r="A57" s="116"/>
      <c r="B57" s="116"/>
      <c r="C57" s="116">
        <v>0</v>
      </c>
      <c r="D57" s="207"/>
      <c r="E57" s="184"/>
      <c r="F57" s="184"/>
      <c r="G57" s="184"/>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row>
    <row r="58" spans="1:147" outlineLevel="4">
      <c r="A58" s="116"/>
      <c r="B58" s="116" t="s">
        <v>967</v>
      </c>
      <c r="C58" s="116">
        <v>5</v>
      </c>
      <c r="D58" s="3" t="s">
        <v>1078</v>
      </c>
      <c r="E58" s="184"/>
      <c r="F58" s="184"/>
      <c r="G58" s="184"/>
      <c r="H58" s="184"/>
      <c r="I58" s="184" t="s">
        <v>1099</v>
      </c>
      <c r="J58" s="184"/>
      <c r="K58" s="184"/>
      <c r="L58" s="184"/>
      <c r="M58" s="185">
        <v>43535</v>
      </c>
      <c r="N58" s="185">
        <v>43560</v>
      </c>
      <c r="O58" s="186"/>
      <c r="P58" s="187">
        <v>34</v>
      </c>
      <c r="Q58" s="187">
        <v>12</v>
      </c>
      <c r="R58" s="188">
        <v>20</v>
      </c>
      <c r="S58" s="188">
        <v>8</v>
      </c>
      <c r="T58" s="185"/>
      <c r="U58" s="185"/>
      <c r="V58" s="189">
        <v>0</v>
      </c>
      <c r="W58" s="190">
        <v>0</v>
      </c>
      <c r="X58" s="191"/>
      <c r="Y58" s="186"/>
      <c r="Z58" s="192"/>
      <c r="AA58" s="97">
        <v>0.35294117647058826</v>
      </c>
      <c r="AB58" s="193">
        <v>0.23529411764705882</v>
      </c>
      <c r="AC58" s="123"/>
      <c r="AD58" s="4"/>
      <c r="AE58" s="4"/>
      <c r="AF58" s="4" t="str">
        <f>"" &amp; TEXT(AB58,"#0.00%") &amp; " " &amp; "영상 관련 기능" &amp; " " &amp; IF(M58="","",TEXT(M58,"M/D-")) &amp; IF(N58="","",TEXT(N58,"M/D")) &amp; " "</f>
        <v xml:space="preserve">23.53% 영상 관련 기능 3/11-4/5 </v>
      </c>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row>
    <row r="59" spans="1:147" outlineLevel="5">
      <c r="A59" s="116"/>
      <c r="B59" s="116"/>
      <c r="C59" s="116">
        <v>6</v>
      </c>
      <c r="D59" s="3" t="s">
        <v>1140</v>
      </c>
      <c r="E59" s="184"/>
      <c r="F59" s="184"/>
      <c r="G59" s="184"/>
      <c r="H59" s="212"/>
      <c r="I59" s="184"/>
      <c r="J59" s="184" t="s">
        <v>1128</v>
      </c>
      <c r="K59" s="184"/>
      <c r="L59" s="184"/>
      <c r="M59" s="185">
        <v>43542</v>
      </c>
      <c r="N59" s="185">
        <v>43544</v>
      </c>
      <c r="O59" s="186"/>
      <c r="P59" s="187">
        <v>3</v>
      </c>
      <c r="Q59" s="187">
        <v>3</v>
      </c>
      <c r="R59" s="188">
        <v>3</v>
      </c>
      <c r="S59" s="188">
        <v>3</v>
      </c>
      <c r="T59" s="185"/>
      <c r="U59" s="185"/>
      <c r="V59" s="189"/>
      <c r="W59" s="190">
        <v>0</v>
      </c>
      <c r="X59" s="191">
        <v>1</v>
      </c>
      <c r="Y59" s="186" t="s">
        <v>1157</v>
      </c>
      <c r="Z59" s="192"/>
      <c r="AA59" s="97">
        <v>1</v>
      </c>
      <c r="AB59" s="193">
        <v>0</v>
      </c>
      <c r="AC59" s="123"/>
      <c r="AD59" s="4"/>
      <c r="AE59" s="4"/>
      <c r="AF59" s="4" t="str">
        <f>" " &amp; TEXT(AB59,"#0.00%") &amp; " " &amp; "업로드 및 스트리밍" &amp; "(최찬민, 이수재)" &amp; " " &amp; IF(M59="","",TEXT(M59,"M/D-")) &amp; IF(N59="","",TEXT(N59,"M/D")) &amp; " "</f>
        <v xml:space="preserve"> 0.00% 업로드 및 스트리밍(최찬민, 이수재) 3/18-3/20 </v>
      </c>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row>
    <row r="60" spans="1:147" outlineLevel="5">
      <c r="A60" s="116"/>
      <c r="B60" s="116"/>
      <c r="C60" s="116">
        <v>6</v>
      </c>
      <c r="D60" s="3" t="s">
        <v>1141</v>
      </c>
      <c r="E60" s="184"/>
      <c r="F60" s="184"/>
      <c r="G60" s="184"/>
      <c r="H60" s="212"/>
      <c r="I60" s="184"/>
      <c r="J60" s="184" t="s">
        <v>1129</v>
      </c>
      <c r="K60" s="184"/>
      <c r="L60" s="184"/>
      <c r="M60" s="185">
        <v>43544</v>
      </c>
      <c r="N60" s="185">
        <v>43546</v>
      </c>
      <c r="O60" s="186"/>
      <c r="P60" s="187">
        <v>3</v>
      </c>
      <c r="Q60" s="187">
        <v>1</v>
      </c>
      <c r="R60" s="188">
        <v>3</v>
      </c>
      <c r="S60" s="188">
        <v>1</v>
      </c>
      <c r="T60" s="185"/>
      <c r="U60" s="185"/>
      <c r="V60" s="189"/>
      <c r="W60" s="190">
        <v>0</v>
      </c>
      <c r="X60" s="191">
        <v>1</v>
      </c>
      <c r="Y60" s="186" t="s">
        <v>1157</v>
      </c>
      <c r="Z60" s="192"/>
      <c r="AA60" s="97">
        <v>0.33333333333333331</v>
      </c>
      <c r="AB60" s="193">
        <v>0</v>
      </c>
      <c r="AC60" s="123"/>
      <c r="AD60" s="4"/>
      <c r="AE60" s="4"/>
      <c r="AF60" s="4" t="str">
        <f>"   " &amp; TEXT(AB60,"#0.00%") &amp; " " &amp; "영상 편집 기능" &amp; "(최찬민, 이수재)" &amp; " " &amp; IF(M60="","",TEXT(M60,"M/D-")) &amp; IF(N60="","",TEXT(N60,"M/D")) &amp; " "</f>
        <v xml:space="preserve">   0.00% 영상 편집 기능(최찬민, 이수재) 3/20-3/22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row>
    <row r="61" spans="1:147" outlineLevel="5">
      <c r="A61" s="116"/>
      <c r="B61" s="116"/>
      <c r="C61" s="116">
        <v>6</v>
      </c>
      <c r="D61" s="3" t="s">
        <v>1142</v>
      </c>
      <c r="E61" s="184"/>
      <c r="F61" s="184"/>
      <c r="G61" s="184"/>
      <c r="H61" s="212"/>
      <c r="I61" s="184"/>
      <c r="J61" s="184" t="s">
        <v>1130</v>
      </c>
      <c r="K61" s="184"/>
      <c r="L61" s="184"/>
      <c r="M61" s="185">
        <v>43546</v>
      </c>
      <c r="N61" s="185">
        <v>43552</v>
      </c>
      <c r="O61" s="186"/>
      <c r="P61" s="187">
        <v>5</v>
      </c>
      <c r="Q61" s="187">
        <v>0</v>
      </c>
      <c r="R61" s="188">
        <v>5</v>
      </c>
      <c r="S61" s="188">
        <v>0</v>
      </c>
      <c r="T61" s="185"/>
      <c r="U61" s="185"/>
      <c r="V61" s="189"/>
      <c r="W61" s="190">
        <v>0</v>
      </c>
      <c r="X61" s="191">
        <v>1</v>
      </c>
      <c r="Y61" s="215" t="s">
        <v>1156</v>
      </c>
      <c r="Z61" s="192"/>
      <c r="AA61" s="97">
        <v>0</v>
      </c>
      <c r="AB61" s="193">
        <v>0</v>
      </c>
      <c r="AC61" s="123"/>
      <c r="AD61" s="4"/>
      <c r="AE61" s="4"/>
      <c r="AF61" s="4" t="str">
        <f>"     " &amp; TEXT(AB61,"#0.00%") &amp; " " &amp; "참여형 서비스" &amp; "(최찬민)" &amp; " " &amp; IF(M61="","",TEXT(M61,"M/D-")) &amp; IF(N61="","",TEXT(N61,"M/D")) &amp; " "</f>
        <v xml:space="preserve">     0.00% 참여형 서비스(최찬민) 3/22-3/28 </v>
      </c>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row>
    <row r="62" spans="1:147" outlineLevel="5">
      <c r="A62" s="116"/>
      <c r="B62" s="116"/>
      <c r="C62" s="116">
        <v>6</v>
      </c>
      <c r="D62" s="3" t="s">
        <v>1143</v>
      </c>
      <c r="E62" s="184"/>
      <c r="F62" s="184"/>
      <c r="G62" s="184"/>
      <c r="H62" s="212"/>
      <c r="I62" s="184"/>
      <c r="J62" s="184" t="s">
        <v>1131</v>
      </c>
      <c r="K62" s="184"/>
      <c r="L62" s="184"/>
      <c r="M62" s="185">
        <v>43552</v>
      </c>
      <c r="N62" s="185">
        <v>43556</v>
      </c>
      <c r="O62" s="186"/>
      <c r="P62" s="187">
        <v>3</v>
      </c>
      <c r="Q62" s="187">
        <v>0</v>
      </c>
      <c r="R62" s="188">
        <v>3</v>
      </c>
      <c r="S62" s="188">
        <v>0</v>
      </c>
      <c r="T62" s="185"/>
      <c r="U62" s="185"/>
      <c r="V62" s="189"/>
      <c r="W62" s="190">
        <v>0</v>
      </c>
      <c r="X62" s="191">
        <v>1</v>
      </c>
      <c r="Y62" s="215" t="s">
        <v>1155</v>
      </c>
      <c r="Z62" s="192"/>
      <c r="AA62" s="97">
        <v>0</v>
      </c>
      <c r="AB62" s="193">
        <v>0</v>
      </c>
      <c r="AC62" s="123"/>
      <c r="AD62" s="4"/>
      <c r="AE62" s="4"/>
      <c r="AF62" s="4"/>
      <c r="AG62" s="4" t="str">
        <f>"    " &amp; TEXT(AB62,"#0.00%") &amp; " " &amp; "북마크 - 부가 서비스 연동" &amp; "(조혜경)" &amp; " " &amp; IF(M62="","",TEXT(M62,"M/D-")) &amp; IF(N62="","",TEXT(N62,"M/D")) &amp; " "</f>
        <v xml:space="preserve">    0.00% 북마크 - 부가 서비스 연동(조혜경) 3/28-4/1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row>
    <row r="63" spans="1:147" outlineLevel="5">
      <c r="A63" s="116"/>
      <c r="B63" s="116"/>
      <c r="C63" s="116">
        <v>6</v>
      </c>
      <c r="D63" s="3" t="s">
        <v>1144</v>
      </c>
      <c r="E63" s="184"/>
      <c r="F63" s="184"/>
      <c r="G63" s="184"/>
      <c r="H63" s="212"/>
      <c r="I63" s="184"/>
      <c r="J63" s="184" t="s">
        <v>1151</v>
      </c>
      <c r="K63" s="184"/>
      <c r="L63" s="184"/>
      <c r="M63" s="185">
        <v>43535</v>
      </c>
      <c r="N63" s="185">
        <v>43560</v>
      </c>
      <c r="O63" s="186"/>
      <c r="P63" s="187">
        <v>20</v>
      </c>
      <c r="Q63" s="187">
        <v>8</v>
      </c>
      <c r="R63" s="188">
        <v>20</v>
      </c>
      <c r="S63" s="188">
        <v>8</v>
      </c>
      <c r="T63" s="185"/>
      <c r="U63" s="185"/>
      <c r="V63" s="189"/>
      <c r="W63" s="190">
        <v>0</v>
      </c>
      <c r="X63" s="191">
        <v>1</v>
      </c>
      <c r="Y63" s="215" t="s">
        <v>1087</v>
      </c>
      <c r="Z63" s="192"/>
      <c r="AA63" s="97">
        <v>0.4</v>
      </c>
      <c r="AB63" s="193">
        <v>0.4</v>
      </c>
      <c r="AC63" s="123"/>
      <c r="AD63" s="4"/>
      <c r="AE63" s="4"/>
      <c r="AF63" s="4" t="str">
        <f>"    " &amp; TEXT(AB63,"#0.00%") &amp; " " &amp; "음성 분석 및 대조" &amp; "(이수재)" &amp; " " &amp; IF(M63="","",TEXT(M63,"M/D-")) &amp; IF(N63="","",TEXT(N63,"M/D")) &amp; " "</f>
        <v xml:space="preserve">    40.00% 음성 분석 및 대조(이수재) 3/11-4/5 </v>
      </c>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row>
    <row r="64" spans="1:147" outlineLevel="5">
      <c r="A64" s="116"/>
      <c r="B64" s="116"/>
      <c r="C64" s="116">
        <v>0</v>
      </c>
      <c r="D64" s="207"/>
      <c r="E64" s="184"/>
      <c r="F64" s="184"/>
      <c r="G64" s="184"/>
      <c r="H64" s="184"/>
      <c r="I64" s="184"/>
      <c r="J64" s="184"/>
      <c r="K64" s="184"/>
      <c r="L64" s="184"/>
      <c r="M64" s="185"/>
      <c r="N64" s="185"/>
      <c r="O64" s="186"/>
      <c r="P64" s="187"/>
      <c r="Q64" s="187"/>
      <c r="R64" s="188">
        <v>0</v>
      </c>
      <c r="S64" s="188">
        <v>0</v>
      </c>
      <c r="T64" s="185"/>
      <c r="U64" s="185"/>
      <c r="V64" s="189"/>
      <c r="W64" s="190">
        <v>0</v>
      </c>
      <c r="X64" s="191"/>
      <c r="Y64" s="186"/>
      <c r="Z64" s="192"/>
      <c r="AA64" s="97"/>
      <c r="AB64" s="193"/>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row>
    <row r="65" spans="1:147" outlineLevel="4">
      <c r="A65" s="116"/>
      <c r="B65" s="116" t="s">
        <v>967</v>
      </c>
      <c r="C65" s="116">
        <v>5</v>
      </c>
      <c r="D65" s="3" t="s">
        <v>1079</v>
      </c>
      <c r="E65" s="184"/>
      <c r="F65" s="184"/>
      <c r="G65" s="184"/>
      <c r="H65" s="184"/>
      <c r="I65" s="184" t="s">
        <v>1104</v>
      </c>
      <c r="J65" s="184"/>
      <c r="K65" s="184"/>
      <c r="L65" s="184"/>
      <c r="M65" s="185">
        <v>43550</v>
      </c>
      <c r="N65" s="185">
        <v>43565</v>
      </c>
      <c r="O65" s="186"/>
      <c r="P65" s="187">
        <v>14</v>
      </c>
      <c r="Q65" s="187">
        <v>0</v>
      </c>
      <c r="R65" s="188">
        <v>12</v>
      </c>
      <c r="S65" s="188">
        <v>0</v>
      </c>
      <c r="T65" s="185"/>
      <c r="U65" s="185"/>
      <c r="V65" s="189">
        <v>0</v>
      </c>
      <c r="W65" s="190">
        <v>0</v>
      </c>
      <c r="X65" s="191"/>
      <c r="Y65" s="186"/>
      <c r="Z65" s="192"/>
      <c r="AA65" s="97">
        <v>0</v>
      </c>
      <c r="AB65" s="193">
        <v>0</v>
      </c>
      <c r="AC65" s="123"/>
      <c r="AD65" s="4"/>
      <c r="AE65" s="4"/>
      <c r="AF65" s="4"/>
      <c r="AG65" s="4" t="str">
        <f>"  " &amp; TEXT(AB65,"#0.00%") &amp; " " &amp; "어학 관련 기능" &amp; " " &amp; IF(M65="","",TEXT(M65,"M/D-")) &amp; IF(N65="","",TEXT(N65,"M/D")) &amp; " "</f>
        <v xml:space="preserve">  0.00% 어학 관련 기능 3/26-4/10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row>
    <row r="66" spans="1:147" outlineLevel="5">
      <c r="A66" s="116"/>
      <c r="B66" s="116"/>
      <c r="C66" s="116">
        <v>6</v>
      </c>
      <c r="D66" s="3" t="s">
        <v>1145</v>
      </c>
      <c r="E66" s="184"/>
      <c r="F66" s="184"/>
      <c r="G66" s="184"/>
      <c r="H66" s="212"/>
      <c r="I66" s="184"/>
      <c r="J66" s="214" t="s">
        <v>1123</v>
      </c>
      <c r="K66" s="184"/>
      <c r="L66" s="184"/>
      <c r="M66" s="185">
        <v>43556</v>
      </c>
      <c r="N66" s="185">
        <v>43558</v>
      </c>
      <c r="O66" s="186"/>
      <c r="P66" s="187">
        <v>3</v>
      </c>
      <c r="Q66" s="187">
        <v>0</v>
      </c>
      <c r="R66" s="188">
        <v>3</v>
      </c>
      <c r="S66" s="188">
        <v>0</v>
      </c>
      <c r="T66" s="185"/>
      <c r="U66" s="185"/>
      <c r="V66" s="189"/>
      <c r="W66" s="190">
        <v>0</v>
      </c>
      <c r="X66" s="191">
        <v>1</v>
      </c>
      <c r="Y66" s="215" t="s">
        <v>1155</v>
      </c>
      <c r="Z66" s="192"/>
      <c r="AA66" s="97">
        <v>0</v>
      </c>
      <c r="AB66" s="193">
        <v>0</v>
      </c>
      <c r="AC66" s="123"/>
      <c r="AD66" s="4"/>
      <c r="AE66" s="4"/>
      <c r="AF66" s="4"/>
      <c r="AG66" s="4"/>
      <c r="AH66" s="4" t="str">
        <f>" " &amp; TEXT(AB66,"#0.00%") &amp; " " &amp; "단어장 관리" &amp; "(조혜경)" &amp; " " &amp; IF(M66="","",TEXT(M66,"M/D-")) &amp; IF(N66="","",TEXT(N66,"M/D")) &amp; " "</f>
        <v xml:space="preserve"> 0.00% 단어장 관리(조혜경) 4/1-4/3 </v>
      </c>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row>
    <row r="67" spans="1:147" outlineLevel="5">
      <c r="A67" s="116"/>
      <c r="B67" s="116"/>
      <c r="C67" s="116">
        <v>6</v>
      </c>
      <c r="D67" s="3" t="s">
        <v>1146</v>
      </c>
      <c r="E67" s="184"/>
      <c r="F67" s="184"/>
      <c r="G67" s="184"/>
      <c r="H67" s="212"/>
      <c r="I67" s="184"/>
      <c r="J67" s="184" t="s">
        <v>1106</v>
      </c>
      <c r="K67" s="184"/>
      <c r="L67" s="184"/>
      <c r="M67" s="185">
        <v>43550</v>
      </c>
      <c r="N67" s="185">
        <v>43553</v>
      </c>
      <c r="O67" s="186"/>
      <c r="P67" s="187">
        <v>4</v>
      </c>
      <c r="Q67" s="187">
        <v>0</v>
      </c>
      <c r="R67" s="188">
        <v>4</v>
      </c>
      <c r="S67" s="188">
        <v>0</v>
      </c>
      <c r="T67" s="185"/>
      <c r="U67" s="185"/>
      <c r="V67" s="189"/>
      <c r="W67" s="190">
        <v>0</v>
      </c>
      <c r="X67" s="191">
        <v>1</v>
      </c>
      <c r="Y67" s="215" t="s">
        <v>1156</v>
      </c>
      <c r="Z67" s="192"/>
      <c r="AA67" s="97">
        <v>0</v>
      </c>
      <c r="AB67" s="193">
        <v>0</v>
      </c>
      <c r="AC67" s="123"/>
      <c r="AD67" s="4"/>
      <c r="AE67" s="4"/>
      <c r="AF67" s="4"/>
      <c r="AG67" s="4" t="str">
        <f>"  " &amp; TEXT(AB67,"#0.00%") &amp; " " &amp; "공동 문법 기능" &amp; "(최찬민)" &amp; " " &amp; IF(M67="","",TEXT(M67,"M/D-")) &amp; IF(N67="","",TEXT(N67,"M/D")) &amp; " "</f>
        <v xml:space="preserve">  0.00% 공동 문법 기능(최찬민) 3/26-3/29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row>
    <row r="68" spans="1:147" outlineLevel="5">
      <c r="A68" s="116"/>
      <c r="B68" s="116"/>
      <c r="C68" s="116">
        <v>6</v>
      </c>
      <c r="D68" s="3" t="s">
        <v>1147</v>
      </c>
      <c r="E68" s="184"/>
      <c r="F68" s="184"/>
      <c r="G68" s="184"/>
      <c r="H68" s="212"/>
      <c r="I68" s="184"/>
      <c r="J68" s="184" t="s">
        <v>1105</v>
      </c>
      <c r="K68" s="184"/>
      <c r="L68" s="184"/>
      <c r="M68" s="185">
        <v>43558</v>
      </c>
      <c r="N68" s="185">
        <v>43560</v>
      </c>
      <c r="O68" s="186"/>
      <c r="P68" s="187">
        <v>3</v>
      </c>
      <c r="Q68" s="187">
        <v>0</v>
      </c>
      <c r="R68" s="188">
        <v>3</v>
      </c>
      <c r="S68" s="188">
        <v>0</v>
      </c>
      <c r="T68" s="185"/>
      <c r="U68" s="185"/>
      <c r="V68" s="189"/>
      <c r="W68" s="190">
        <v>0</v>
      </c>
      <c r="X68" s="191">
        <v>1</v>
      </c>
      <c r="Y68" s="215" t="s">
        <v>1155</v>
      </c>
      <c r="Z68" s="192"/>
      <c r="AA68" s="97">
        <v>0</v>
      </c>
      <c r="AB68" s="193">
        <v>0</v>
      </c>
      <c r="AC68" s="123"/>
      <c r="AD68" s="4"/>
      <c r="AE68" s="4"/>
      <c r="AF68" s="4"/>
      <c r="AG68" s="4"/>
      <c r="AH68" s="4" t="str">
        <f>"   " &amp; TEXT(AB68,"#0.00%") &amp; " " &amp; "대사집 및 문법집" &amp; "(조혜경)" &amp; " " &amp; IF(M68="","",TEXT(M68,"M/D-")) &amp; IF(N68="","",TEXT(N68,"M/D")) &amp; " "</f>
        <v xml:space="preserve">   0.00% 대사집 및 문법집(조혜경) 4/3-4/5 </v>
      </c>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row>
    <row r="69" spans="1:147" outlineLevel="5">
      <c r="A69" s="116"/>
      <c r="B69" s="116"/>
      <c r="C69" s="116">
        <v>6</v>
      </c>
      <c r="D69" s="3" t="s">
        <v>1148</v>
      </c>
      <c r="E69" s="184"/>
      <c r="F69" s="184"/>
      <c r="G69" s="184"/>
      <c r="H69" s="212"/>
      <c r="I69" s="184"/>
      <c r="J69" s="214" t="s">
        <v>1124</v>
      </c>
      <c r="K69" s="184"/>
      <c r="L69" s="184"/>
      <c r="M69" s="185">
        <v>43560</v>
      </c>
      <c r="N69" s="185">
        <v>43563</v>
      </c>
      <c r="O69" s="186"/>
      <c r="P69" s="187">
        <v>2</v>
      </c>
      <c r="Q69" s="187">
        <v>0</v>
      </c>
      <c r="R69" s="188">
        <v>2</v>
      </c>
      <c r="S69" s="188">
        <v>0</v>
      </c>
      <c r="T69" s="185"/>
      <c r="U69" s="185"/>
      <c r="V69" s="189"/>
      <c r="W69" s="190">
        <v>0</v>
      </c>
      <c r="X69" s="191">
        <v>1</v>
      </c>
      <c r="Y69" s="215" t="s">
        <v>1155</v>
      </c>
      <c r="Z69" s="192"/>
      <c r="AA69" s="97">
        <v>0</v>
      </c>
      <c r="AB69" s="193">
        <v>0</v>
      </c>
      <c r="AC69" s="123"/>
      <c r="AD69" s="4"/>
      <c r="AE69" s="4"/>
      <c r="AF69" s="4"/>
      <c r="AG69" s="4"/>
      <c r="AH69" s="4" t="str">
        <f>"     " &amp; TEXT(AB69,"#0.00%") &amp; " " &amp; "어휘 시험" &amp; "(조혜경)" &amp; " " &amp; IF(M69="","",TEXT(M69,"M/D-")) &amp; IF(N69="","",TEXT(N69,"M/D")) &amp; " "</f>
        <v xml:space="preserve">     0.00% 어휘 시험(조혜경) 4/5-4/8 </v>
      </c>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row>
    <row r="70" spans="1:147" outlineLevel="5">
      <c r="A70" s="116"/>
      <c r="B70" s="116"/>
      <c r="C70" s="116">
        <v>6</v>
      </c>
      <c r="D70" s="3" t="s">
        <v>1159</v>
      </c>
      <c r="E70" s="184"/>
      <c r="F70" s="184"/>
      <c r="G70" s="184"/>
      <c r="H70" s="212"/>
      <c r="I70" s="184"/>
      <c r="J70" s="214" t="s">
        <v>1107</v>
      </c>
      <c r="K70" s="184"/>
      <c r="L70" s="184"/>
      <c r="M70" s="185">
        <v>43564</v>
      </c>
      <c r="N70" s="185">
        <v>43565</v>
      </c>
      <c r="O70" s="186"/>
      <c r="P70" s="187">
        <v>2</v>
      </c>
      <c r="Q70" s="187">
        <v>0</v>
      </c>
      <c r="R70" s="188">
        <v>2</v>
      </c>
      <c r="S70" s="188">
        <v>0</v>
      </c>
      <c r="T70" s="185"/>
      <c r="U70" s="185"/>
      <c r="V70" s="189"/>
      <c r="W70" s="190">
        <v>0</v>
      </c>
      <c r="X70" s="191">
        <v>1</v>
      </c>
      <c r="Y70" s="215" t="s">
        <v>1167</v>
      </c>
      <c r="Z70" s="192"/>
      <c r="AA70" s="97">
        <v>0</v>
      </c>
      <c r="AB70" s="193">
        <v>0</v>
      </c>
      <c r="AC70" s="123"/>
      <c r="AD70" s="4"/>
      <c r="AE70" s="4"/>
      <c r="AF70" s="4"/>
      <c r="AG70" s="4"/>
      <c r="AH70" s="4"/>
      <c r="AI70" s="4" t="str">
        <f>"  " &amp; TEXT(AB70,"#0.00%") &amp; " " &amp; "성취도 및 성적" &amp; "(조혜경, 최찬민)" &amp; " " &amp; IF(M70="","",TEXT(M70,"M/D-")) &amp; IF(N70="","",TEXT(N70,"M/D")) &amp; " "</f>
        <v xml:space="preserve">  0.00% 성취도 및 성적(조혜경, 최찬민) 4/9-4/10 </v>
      </c>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row>
    <row r="71" spans="1:147" outlineLevel="5">
      <c r="A71" s="116"/>
      <c r="B71" s="116"/>
      <c r="C71" s="116">
        <v>0</v>
      </c>
      <c r="D71" s="3"/>
      <c r="E71" s="184"/>
      <c r="F71" s="184"/>
      <c r="G71" s="184"/>
      <c r="H71" s="212"/>
      <c r="I71" s="184"/>
      <c r="J71" s="184"/>
      <c r="K71" s="184"/>
      <c r="L71" s="184"/>
      <c r="M71" s="185"/>
      <c r="N71" s="185"/>
      <c r="O71" s="186"/>
      <c r="P71" s="187"/>
      <c r="Q71" s="187"/>
      <c r="R71" s="188">
        <v>0</v>
      </c>
      <c r="S71" s="188">
        <v>0</v>
      </c>
      <c r="T71" s="185"/>
      <c r="U71" s="185"/>
      <c r="V71" s="189"/>
      <c r="W71" s="190">
        <v>0</v>
      </c>
      <c r="X71" s="191"/>
      <c r="Y71" s="186"/>
      <c r="Z71" s="192"/>
      <c r="AA71" s="97"/>
      <c r="AB71" s="193"/>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row>
    <row r="72" spans="1:147" outlineLevel="2">
      <c r="A72" s="116"/>
      <c r="B72" s="116" t="s">
        <v>967</v>
      </c>
      <c r="C72" s="116">
        <v>3</v>
      </c>
      <c r="D72" s="3" t="s">
        <v>1080</v>
      </c>
      <c r="E72" s="184"/>
      <c r="F72" s="184"/>
      <c r="G72" s="184" t="s">
        <v>1069</v>
      </c>
      <c r="H72" s="212"/>
      <c r="I72" s="184"/>
      <c r="J72" s="184"/>
      <c r="K72" s="184"/>
      <c r="L72" s="184"/>
      <c r="M72" s="185">
        <v>43552</v>
      </c>
      <c r="N72" s="185">
        <v>43623</v>
      </c>
      <c r="O72" s="186"/>
      <c r="P72" s="187">
        <v>31</v>
      </c>
      <c r="Q72" s="187">
        <v>0</v>
      </c>
      <c r="R72" s="188">
        <v>50</v>
      </c>
      <c r="S72" s="188">
        <v>0</v>
      </c>
      <c r="T72" s="185"/>
      <c r="U72" s="185"/>
      <c r="V72" s="189">
        <v>0</v>
      </c>
      <c r="W72" s="190">
        <v>0</v>
      </c>
      <c r="X72" s="191"/>
      <c r="Y72" s="186"/>
      <c r="Z72" s="192"/>
      <c r="AA72" s="97">
        <v>0</v>
      </c>
      <c r="AB72" s="193">
        <v>0</v>
      </c>
      <c r="AC72" s="123"/>
      <c r="AD72" s="4"/>
      <c r="AE72" s="4"/>
      <c r="AF72" s="4"/>
      <c r="AG72" s="4" t="str">
        <f>"    " &amp; TEXT(AB72,"#0.00%") &amp; " "</f>
        <v xml:space="preserve">    0.00% </v>
      </c>
      <c r="AH72" s="4"/>
      <c r="AI72" s="4"/>
      <c r="AJ72" s="4"/>
      <c r="AK72" s="4"/>
      <c r="AL72" s="4"/>
      <c r="AM72" s="4"/>
      <c r="AN72" s="4"/>
      <c r="AO72" s="4"/>
      <c r="AP72" s="4"/>
      <c r="AQ72" s="4" t="str">
        <f>"      " &amp; "테스트 및 안정화" &amp; " " &amp; IF(M72="","",TEXT(M72,"M/D-")) &amp; IF(N72="","",TEXT(N72,"M/D")) &amp; " "</f>
        <v xml:space="preserve">      테스트 및 안정화 3/28-6/7 </v>
      </c>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row>
    <row r="73" spans="1:147" outlineLevel="3">
      <c r="A73" s="116"/>
      <c r="B73" s="116"/>
      <c r="C73" s="116">
        <v>4</v>
      </c>
      <c r="D73" s="3" t="s">
        <v>1081</v>
      </c>
      <c r="E73" s="184"/>
      <c r="F73" s="184"/>
      <c r="G73" s="184"/>
      <c r="H73" s="213" t="s">
        <v>1149</v>
      </c>
      <c r="I73" s="184"/>
      <c r="J73" s="184"/>
      <c r="K73" s="184"/>
      <c r="L73" s="184"/>
      <c r="M73" s="185">
        <v>43552</v>
      </c>
      <c r="N73" s="185">
        <v>43557</v>
      </c>
      <c r="O73" s="186"/>
      <c r="P73" s="187">
        <v>4</v>
      </c>
      <c r="Q73" s="187">
        <v>0</v>
      </c>
      <c r="R73" s="188">
        <v>4</v>
      </c>
      <c r="S73" s="188">
        <v>0</v>
      </c>
      <c r="T73" s="185"/>
      <c r="U73" s="185"/>
      <c r="V73" s="189"/>
      <c r="W73" s="190">
        <v>0</v>
      </c>
      <c r="X73" s="191">
        <v>1</v>
      </c>
      <c r="Y73" s="186" t="s">
        <v>1153</v>
      </c>
      <c r="Z73" s="192"/>
      <c r="AA73" s="97">
        <v>0</v>
      </c>
      <c r="AB73" s="193">
        <v>0</v>
      </c>
      <c r="AC73" s="123"/>
      <c r="AD73" s="4"/>
      <c r="AE73" s="4"/>
      <c r="AF73" s="4"/>
      <c r="AG73" s="4" t="str">
        <f>"    " &amp; TEXT(AB73,"#0.00%") &amp; " " &amp; "중간테스트 및 보완" &amp; "(조원 전체)" &amp; " " &amp; IF(M73="","",TEXT(M73,"M/D-")) &amp; IF(N73="","",TEXT(N73,"M/D")) &amp; " "</f>
        <v xml:space="preserve">    0.00% 중간테스트 및 보완(조원 전체) 3/28-4/2 </v>
      </c>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row>
    <row r="74" spans="1:147" outlineLevel="3">
      <c r="A74" s="116"/>
      <c r="B74" s="116"/>
      <c r="C74" s="116">
        <v>4</v>
      </c>
      <c r="D74" s="3" t="s">
        <v>1082</v>
      </c>
      <c r="E74" s="184"/>
      <c r="F74" s="184"/>
      <c r="G74" s="184"/>
      <c r="H74" s="212" t="s">
        <v>1070</v>
      </c>
      <c r="I74" s="184"/>
      <c r="J74" s="184"/>
      <c r="K74" s="184"/>
      <c r="L74" s="184"/>
      <c r="M74" s="185">
        <v>43565</v>
      </c>
      <c r="N74" s="185">
        <v>43579</v>
      </c>
      <c r="O74" s="186"/>
      <c r="P74" s="187">
        <v>11</v>
      </c>
      <c r="Q74" s="187">
        <v>0</v>
      </c>
      <c r="R74" s="188">
        <v>11</v>
      </c>
      <c r="S74" s="188">
        <v>0</v>
      </c>
      <c r="T74" s="185"/>
      <c r="U74" s="185"/>
      <c r="V74" s="189"/>
      <c r="W74" s="190">
        <v>0</v>
      </c>
      <c r="X74" s="191">
        <v>1</v>
      </c>
      <c r="Y74" s="186" t="s">
        <v>1153</v>
      </c>
      <c r="Z74" s="192"/>
      <c r="AA74" s="97">
        <v>0</v>
      </c>
      <c r="AB74" s="193">
        <v>0</v>
      </c>
      <c r="AC74" s="123"/>
      <c r="AD74" s="4"/>
      <c r="AE74" s="4"/>
      <c r="AF74" s="4"/>
      <c r="AG74" s="4"/>
      <c r="AH74" s="4"/>
      <c r="AI74" s="4" t="str">
        <f>"   " &amp; TEXT(AB74,"#0.00%") &amp; " " &amp; "프로토 타입 테스트 및 안정화" &amp; "(조원 전체)" &amp; " " &amp; IF(M74="","",TEXT(M74,"M/D-")) &amp; IF(N74="","",TEXT(N74,"M/D")) &amp; " "</f>
        <v xml:space="preserve">   0.00% 프로토 타입 테스트 및 안정화(조원 전체) 4/10-4/24 </v>
      </c>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row>
    <row r="75" spans="1:147" outlineLevel="3">
      <c r="A75" s="116"/>
      <c r="B75" s="116"/>
      <c r="C75" s="116">
        <v>4</v>
      </c>
      <c r="D75" s="3" t="s">
        <v>1152</v>
      </c>
      <c r="E75" s="184"/>
      <c r="F75" s="184"/>
      <c r="G75" s="184"/>
      <c r="H75" s="212" t="s">
        <v>1071</v>
      </c>
      <c r="I75" s="184"/>
      <c r="J75" s="184"/>
      <c r="K75" s="184"/>
      <c r="L75" s="184"/>
      <c r="M75" s="185">
        <v>43601</v>
      </c>
      <c r="N75" s="185">
        <v>43623</v>
      </c>
      <c r="O75" s="186"/>
      <c r="P75" s="187">
        <v>16</v>
      </c>
      <c r="Q75" s="187">
        <v>0</v>
      </c>
      <c r="R75" s="188">
        <v>16</v>
      </c>
      <c r="S75" s="188">
        <v>0</v>
      </c>
      <c r="T75" s="185"/>
      <c r="U75" s="185"/>
      <c r="V75" s="189"/>
      <c r="W75" s="190">
        <v>0</v>
      </c>
      <c r="X75" s="191">
        <v>1</v>
      </c>
      <c r="Y75" s="186" t="s">
        <v>1153</v>
      </c>
      <c r="Z75" s="192"/>
      <c r="AA75" s="97">
        <v>0</v>
      </c>
      <c r="AB75" s="193">
        <v>0</v>
      </c>
      <c r="AC75" s="123"/>
      <c r="AD75" s="4"/>
      <c r="AE75" s="4"/>
      <c r="AF75" s="4"/>
      <c r="AG75" s="4"/>
      <c r="AH75" s="4"/>
      <c r="AI75" s="4"/>
      <c r="AJ75" s="4"/>
      <c r="AK75" s="4"/>
      <c r="AL75" s="4"/>
      <c r="AM75" s="4"/>
      <c r="AN75" s="4" t="str">
        <f>"    " &amp; TEXT(AB75,"#0.00%") &amp; " " &amp; "피드백 반영 및 안정화" &amp; "(조원 전체)" &amp; " " &amp; IF(M75="","",TEXT(M75,"M/D-")) &amp; IF(N75="","",TEXT(N75,"M/D")) &amp; " "</f>
        <v xml:space="preserve">    0.00% 피드백 반영 및 안정화(조원 전체) 5/16-6/7 </v>
      </c>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row>
    <row r="76" spans="1:147" outlineLevel="3">
      <c r="A76" s="116"/>
      <c r="B76" s="116"/>
      <c r="C76" s="116">
        <v>0</v>
      </c>
      <c r="D76" s="3"/>
      <c r="E76" s="184"/>
      <c r="F76" s="184"/>
      <c r="G76" s="184"/>
      <c r="H76" s="212"/>
      <c r="I76" s="184"/>
      <c r="J76" s="184"/>
      <c r="K76" s="184"/>
      <c r="L76" s="184"/>
      <c r="M76" s="185"/>
      <c r="N76" s="185"/>
      <c r="O76" s="186"/>
      <c r="P76" s="187"/>
      <c r="Q76" s="187"/>
      <c r="R76" s="188">
        <v>0</v>
      </c>
      <c r="S76" s="188">
        <v>0</v>
      </c>
      <c r="T76" s="185"/>
      <c r="U76" s="185"/>
      <c r="V76" s="189"/>
      <c r="W76" s="190">
        <v>0</v>
      </c>
      <c r="X76" s="191"/>
      <c r="Y76" s="186"/>
      <c r="Z76" s="192"/>
      <c r="AA76" s="97"/>
      <c r="AB76" s="193"/>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row>
    <row r="77" spans="1:147">
      <c r="A77" s="116"/>
      <c r="B77" s="116" t="s">
        <v>967</v>
      </c>
      <c r="C77" s="116">
        <v>1</v>
      </c>
      <c r="D77" s="3" t="s">
        <v>1057</v>
      </c>
      <c r="E77" s="184" t="s">
        <v>1052</v>
      </c>
      <c r="F77" s="184"/>
      <c r="G77" s="184"/>
      <c r="H77" s="184"/>
      <c r="I77" s="184"/>
      <c r="J77" s="184"/>
      <c r="K77" s="184"/>
      <c r="L77" s="184"/>
      <c r="M77" s="185">
        <v>43581</v>
      </c>
      <c r="N77" s="185">
        <v>43637</v>
      </c>
      <c r="O77" s="186"/>
      <c r="P77" s="187">
        <v>26</v>
      </c>
      <c r="Q77" s="187">
        <v>0</v>
      </c>
      <c r="R77" s="188">
        <v>39</v>
      </c>
      <c r="S77" s="188">
        <v>0</v>
      </c>
      <c r="T77" s="185"/>
      <c r="U77" s="185"/>
      <c r="V77" s="189">
        <v>0</v>
      </c>
      <c r="W77" s="190">
        <v>0</v>
      </c>
      <c r="X77" s="191"/>
      <c r="Y77" s="186"/>
      <c r="Z77" s="192"/>
      <c r="AA77" s="97">
        <v>0</v>
      </c>
      <c r="AB77" s="193">
        <v>0</v>
      </c>
      <c r="AC77" s="123"/>
      <c r="AD77" s="4"/>
      <c r="AE77" s="4"/>
      <c r="AF77" s="4"/>
      <c r="AG77" s="4"/>
      <c r="AH77" s="4"/>
      <c r="AI77" s="4"/>
      <c r="AJ77" s="4"/>
      <c r="AK77" s="4" t="str">
        <f>"     " &amp; TEXT(AB77,"#0.00%") &amp; " "</f>
        <v xml:space="preserve">     0.00% </v>
      </c>
      <c r="AL77" s="4"/>
      <c r="AM77" s="4"/>
      <c r="AN77" s="4"/>
      <c r="AO77" s="4"/>
      <c r="AP77" s="4"/>
      <c r="AQ77" s="4"/>
      <c r="AR77" s="4"/>
      <c r="AS77" s="4" t="str">
        <f>"      " &amp; "프레젠테이션" &amp; " " &amp; IF(M77="","",TEXT(M77,"M/D-")) &amp; IF(N77="","",TEXT(N77,"M/D")) &amp; " "</f>
        <v xml:space="preserve">      프레젠테이션 4/26-6/21 </v>
      </c>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row>
    <row r="78" spans="1:147" outlineLevel="1">
      <c r="A78" s="116"/>
      <c r="B78" s="116" t="s">
        <v>967</v>
      </c>
      <c r="C78" s="116">
        <v>2</v>
      </c>
      <c r="D78" s="3" t="s">
        <v>1058</v>
      </c>
      <c r="E78" s="184"/>
      <c r="F78" s="184" t="s">
        <v>1064</v>
      </c>
      <c r="G78" s="184"/>
      <c r="H78" s="184"/>
      <c r="I78" s="184"/>
      <c r="J78" s="184"/>
      <c r="K78" s="184"/>
      <c r="L78" s="184"/>
      <c r="M78" s="185">
        <v>43581</v>
      </c>
      <c r="N78" s="185">
        <v>43598</v>
      </c>
      <c r="O78" s="186"/>
      <c r="P78" s="187">
        <v>12</v>
      </c>
      <c r="Q78" s="187">
        <v>0</v>
      </c>
      <c r="R78" s="188">
        <v>11</v>
      </c>
      <c r="S78" s="188">
        <v>0</v>
      </c>
      <c r="T78" s="185"/>
      <c r="U78" s="185"/>
      <c r="V78" s="189">
        <v>0</v>
      </c>
      <c r="W78" s="190">
        <v>0</v>
      </c>
      <c r="X78" s="191"/>
      <c r="Y78" s="186"/>
      <c r="Z78" s="192"/>
      <c r="AA78" s="97">
        <v>0</v>
      </c>
      <c r="AB78" s="193">
        <v>0</v>
      </c>
      <c r="AC78" s="123"/>
      <c r="AD78" s="4"/>
      <c r="AE78" s="4"/>
      <c r="AF78" s="4"/>
      <c r="AG78" s="4"/>
      <c r="AH78" s="4"/>
      <c r="AI78" s="4"/>
      <c r="AJ78" s="4"/>
      <c r="AK78" s="4" t="str">
        <f>"     " &amp; TEXT(AB78,"#0.00%") &amp; " " &amp; "프로토 타입 발표" &amp; " " &amp; IF(M78="","",TEXT(M78,"M/D-")) &amp; IF(N78="","",TEXT(N78,"M/D")) &amp; " "</f>
        <v xml:space="preserve">     0.00% 프로토 타입 발표 4/26-5/13 </v>
      </c>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row>
    <row r="79" spans="1:147" outlineLevel="2">
      <c r="A79" s="116"/>
      <c r="B79" s="116"/>
      <c r="C79" s="116">
        <v>3</v>
      </c>
      <c r="D79" s="3" t="s">
        <v>1059</v>
      </c>
      <c r="E79" s="184"/>
      <c r="F79" s="184"/>
      <c r="G79" s="184" t="s">
        <v>1054</v>
      </c>
      <c r="H79" s="184"/>
      <c r="I79" s="184"/>
      <c r="J79" s="184"/>
      <c r="K79" s="184"/>
      <c r="L79" s="184"/>
      <c r="M79" s="185">
        <v>43581</v>
      </c>
      <c r="N79" s="185">
        <v>43592</v>
      </c>
      <c r="O79" s="186"/>
      <c r="P79" s="187">
        <v>7</v>
      </c>
      <c r="Q79" s="187">
        <v>0</v>
      </c>
      <c r="R79" s="188">
        <v>7</v>
      </c>
      <c r="S79" s="188">
        <v>0</v>
      </c>
      <c r="T79" s="185"/>
      <c r="U79" s="185"/>
      <c r="V79" s="189"/>
      <c r="W79" s="190">
        <v>0</v>
      </c>
      <c r="X79" s="191">
        <v>1</v>
      </c>
      <c r="Y79" s="186" t="s">
        <v>1153</v>
      </c>
      <c r="Z79" s="192"/>
      <c r="AA79" s="97">
        <v>0</v>
      </c>
      <c r="AB79" s="193">
        <v>0</v>
      </c>
      <c r="AC79" s="123"/>
      <c r="AD79" s="4"/>
      <c r="AE79" s="4"/>
      <c r="AF79" s="4"/>
      <c r="AG79" s="4"/>
      <c r="AH79" s="4"/>
      <c r="AI79" s="4"/>
      <c r="AJ79" s="4"/>
      <c r="AK79" s="4" t="str">
        <f>"     " &amp; TEXT(AB79,"#0.00%") &amp; " " &amp; "PPT 작성" &amp; "(조원 전체)" &amp; " " &amp; IF(M79="","",TEXT(M79,"M/D-")) &amp; IF(N79="","",TEXT(N79,"M/D")) &amp; " "</f>
        <v xml:space="preserve">     0.00% PPT 작성(조원 전체) 4/26-5/7 </v>
      </c>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row>
    <row r="80" spans="1:147" outlineLevel="2">
      <c r="A80" s="116"/>
      <c r="B80" s="116"/>
      <c r="C80" s="116">
        <v>3</v>
      </c>
      <c r="D80" s="3" t="s">
        <v>1060</v>
      </c>
      <c r="E80" s="184"/>
      <c r="F80" s="184"/>
      <c r="G80" s="184" t="s">
        <v>1055</v>
      </c>
      <c r="H80" s="184"/>
      <c r="I80" s="184"/>
      <c r="J80" s="184"/>
      <c r="K80" s="184"/>
      <c r="L80" s="184"/>
      <c r="M80" s="185">
        <v>43592</v>
      </c>
      <c r="N80" s="185">
        <v>43598</v>
      </c>
      <c r="O80" s="186"/>
      <c r="P80" s="187">
        <v>5</v>
      </c>
      <c r="Q80" s="187">
        <v>0</v>
      </c>
      <c r="R80" s="188">
        <v>5</v>
      </c>
      <c r="S80" s="188">
        <v>0</v>
      </c>
      <c r="T80" s="185"/>
      <c r="U80" s="185"/>
      <c r="V80" s="189"/>
      <c r="W80" s="190">
        <v>0</v>
      </c>
      <c r="X80" s="191">
        <v>1</v>
      </c>
      <c r="Y80" s="186" t="s">
        <v>1153</v>
      </c>
      <c r="Z80" s="192"/>
      <c r="AA80" s="97">
        <v>0</v>
      </c>
      <c r="AB80" s="193">
        <v>0</v>
      </c>
      <c r="AC80" s="123"/>
      <c r="AD80" s="4"/>
      <c r="AE80" s="4"/>
      <c r="AF80" s="4"/>
      <c r="AG80" s="4"/>
      <c r="AH80" s="4"/>
      <c r="AI80" s="4"/>
      <c r="AJ80" s="4"/>
      <c r="AK80" s="4"/>
      <c r="AL80" s="4"/>
      <c r="AM80" s="4" t="str">
        <f>"  " &amp; TEXT(AB80,"#0.00%") &amp; " " &amp; "스크립트 작성 및 발표 준비" &amp; "(조원 전체)" &amp; " " &amp; IF(M80="","",TEXT(M80,"M/D-")) &amp; IF(N80="","",TEXT(N80,"M/D")) &amp; " "</f>
        <v xml:space="preserve">  0.00% 스크립트 작성 및 발표 준비(조원 전체) 5/7-5/13 </v>
      </c>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row>
    <row r="81" spans="1:147" outlineLevel="2">
      <c r="A81" s="116"/>
      <c r="B81" s="116"/>
      <c r="C81" s="116">
        <v>0</v>
      </c>
      <c r="D81" s="3"/>
      <c r="E81" s="184"/>
      <c r="F81" s="184"/>
      <c r="G81" s="184"/>
      <c r="H81" s="184"/>
      <c r="I81" s="184"/>
      <c r="J81" s="184"/>
      <c r="K81" s="184"/>
      <c r="L81" s="184"/>
      <c r="M81" s="185"/>
      <c r="N81" s="185"/>
      <c r="O81" s="186"/>
      <c r="P81" s="187"/>
      <c r="Q81" s="187"/>
      <c r="R81" s="188">
        <v>0</v>
      </c>
      <c r="S81" s="188">
        <v>0</v>
      </c>
      <c r="T81" s="185"/>
      <c r="U81" s="185"/>
      <c r="V81" s="189"/>
      <c r="W81" s="190">
        <v>0</v>
      </c>
      <c r="X81" s="191"/>
      <c r="Y81" s="186"/>
      <c r="Z81" s="192"/>
      <c r="AA81" s="97"/>
      <c r="AB81" s="193"/>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row>
    <row r="82" spans="1:147" outlineLevel="1">
      <c r="A82" s="116"/>
      <c r="B82" s="116" t="s">
        <v>967</v>
      </c>
      <c r="C82" s="116">
        <v>2</v>
      </c>
      <c r="D82" s="3" t="s">
        <v>1061</v>
      </c>
      <c r="E82" s="184"/>
      <c r="F82" s="184" t="s">
        <v>1056</v>
      </c>
      <c r="G82" s="184"/>
      <c r="H82" s="184"/>
      <c r="I82" s="184"/>
      <c r="J82" s="184"/>
      <c r="K82" s="184"/>
      <c r="L82" s="184"/>
      <c r="M82" s="185">
        <v>43616</v>
      </c>
      <c r="N82" s="185">
        <v>43633</v>
      </c>
      <c r="O82" s="186"/>
      <c r="P82" s="187">
        <v>12</v>
      </c>
      <c r="Q82" s="187">
        <v>0</v>
      </c>
      <c r="R82" s="188">
        <v>11</v>
      </c>
      <c r="S82" s="188">
        <v>0</v>
      </c>
      <c r="T82" s="185"/>
      <c r="U82" s="185"/>
      <c r="V82" s="189">
        <v>0</v>
      </c>
      <c r="W82" s="190">
        <v>0</v>
      </c>
      <c r="X82" s="191"/>
      <c r="Y82" s="186"/>
      <c r="Z82" s="192"/>
      <c r="AA82" s="97">
        <v>0</v>
      </c>
      <c r="AB82" s="193">
        <v>0</v>
      </c>
      <c r="AC82" s="123"/>
      <c r="AD82" s="4"/>
      <c r="AE82" s="4"/>
      <c r="AF82" s="4"/>
      <c r="AG82" s="4"/>
      <c r="AH82" s="4"/>
      <c r="AI82" s="4"/>
      <c r="AJ82" s="4"/>
      <c r="AK82" s="4"/>
      <c r="AL82" s="4"/>
      <c r="AM82" s="4"/>
      <c r="AN82" s="4"/>
      <c r="AO82" s="4"/>
      <c r="AP82" s="4" t="str">
        <f>"     " &amp; TEXT(AB82,"#0.00%") &amp; " " &amp; "최종 발표" &amp; " " &amp; IF(M82="","",TEXT(M82,"M/D-")) &amp; IF(N82="","",TEXT(N82,"M/D")) &amp; " "</f>
        <v xml:space="preserve">     0.00% 최종 발표 5/31-6/17 </v>
      </c>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row>
    <row r="83" spans="1:147" outlineLevel="2">
      <c r="A83" s="116"/>
      <c r="B83" s="116"/>
      <c r="C83" s="116">
        <v>3</v>
      </c>
      <c r="D83" s="3" t="s">
        <v>1062</v>
      </c>
      <c r="E83" s="184"/>
      <c r="F83" s="184"/>
      <c r="G83" s="184" t="s">
        <v>1054</v>
      </c>
      <c r="H83" s="184"/>
      <c r="I83" s="184"/>
      <c r="J83" s="184"/>
      <c r="K83" s="184"/>
      <c r="L83" s="184"/>
      <c r="M83" s="185">
        <v>43616</v>
      </c>
      <c r="N83" s="185">
        <v>43626</v>
      </c>
      <c r="O83" s="186"/>
      <c r="P83" s="187">
        <v>6</v>
      </c>
      <c r="Q83" s="187">
        <v>0</v>
      </c>
      <c r="R83" s="188">
        <v>6</v>
      </c>
      <c r="S83" s="188">
        <v>0</v>
      </c>
      <c r="T83" s="185"/>
      <c r="U83" s="185"/>
      <c r="V83" s="189"/>
      <c r="W83" s="190">
        <v>0</v>
      </c>
      <c r="X83" s="191">
        <v>1</v>
      </c>
      <c r="Y83" s="186" t="s">
        <v>1153</v>
      </c>
      <c r="Z83" s="192"/>
      <c r="AA83" s="97">
        <v>0</v>
      </c>
      <c r="AB83" s="193">
        <v>0</v>
      </c>
      <c r="AC83" s="123"/>
      <c r="AD83" s="4"/>
      <c r="AE83" s="4"/>
      <c r="AF83" s="4"/>
      <c r="AG83" s="4"/>
      <c r="AH83" s="4"/>
      <c r="AI83" s="4"/>
      <c r="AJ83" s="4"/>
      <c r="AK83" s="4"/>
      <c r="AL83" s="4"/>
      <c r="AM83" s="4"/>
      <c r="AN83" s="4"/>
      <c r="AO83" s="4"/>
      <c r="AP83" s="4" t="str">
        <f>"     " &amp; TEXT(AB83,"#0.00%") &amp; " " &amp; "PPT 작성" &amp; "(조원 전체)" &amp; " " &amp; IF(M83="","",TEXT(M83,"M/D-")) &amp; IF(N83="","",TEXT(N83,"M/D")) &amp; " "</f>
        <v xml:space="preserve">     0.00% PPT 작성(조원 전체) 5/31-6/10 </v>
      </c>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row>
    <row r="84" spans="1:147" outlineLevel="2">
      <c r="A84" s="116"/>
      <c r="B84" s="116"/>
      <c r="C84" s="116">
        <v>3</v>
      </c>
      <c r="D84" s="3" t="s">
        <v>1063</v>
      </c>
      <c r="E84" s="184"/>
      <c r="F84" s="184"/>
      <c r="G84" s="184" t="s">
        <v>1055</v>
      </c>
      <c r="H84" s="184"/>
      <c r="I84" s="184"/>
      <c r="J84" s="184"/>
      <c r="K84" s="184"/>
      <c r="L84" s="184"/>
      <c r="M84" s="185">
        <v>43626</v>
      </c>
      <c r="N84" s="185">
        <v>43633</v>
      </c>
      <c r="O84" s="186"/>
      <c r="P84" s="187">
        <v>6</v>
      </c>
      <c r="Q84" s="187">
        <v>0</v>
      </c>
      <c r="R84" s="188">
        <v>6</v>
      </c>
      <c r="S84" s="188">
        <v>0</v>
      </c>
      <c r="T84" s="185"/>
      <c r="U84" s="185"/>
      <c r="V84" s="189"/>
      <c r="W84" s="190">
        <v>0</v>
      </c>
      <c r="X84" s="191">
        <v>1</v>
      </c>
      <c r="Y84" s="186" t="s">
        <v>1153</v>
      </c>
      <c r="Z84" s="192"/>
      <c r="AA84" s="97">
        <v>0</v>
      </c>
      <c r="AB84" s="193">
        <v>0</v>
      </c>
      <c r="AC84" s="123"/>
      <c r="AD84" s="4"/>
      <c r="AE84" s="4"/>
      <c r="AF84" s="4"/>
      <c r="AG84" s="4"/>
      <c r="AH84" s="4"/>
      <c r="AI84" s="4"/>
      <c r="AJ84" s="4"/>
      <c r="AK84" s="4"/>
      <c r="AL84" s="4"/>
      <c r="AM84" s="4"/>
      <c r="AN84" s="4"/>
      <c r="AO84" s="4"/>
      <c r="AP84" s="4"/>
      <c r="AQ84" s="4"/>
      <c r="AR84" s="4" t="str">
        <f>" " &amp; TEXT(AB84,"#0.00%") &amp; " " &amp; "스크립트 작성 및 발표 준비" &amp; "(조원 전체)" &amp; " " &amp; IF(M84="","",TEXT(M84,"M/D-")) &amp; IF(N84="","",TEXT(N84,"M/D")) &amp; " "</f>
        <v xml:space="preserve"> 0.00% 스크립트 작성 및 발표 준비(조원 전체) 6/10-6/17 </v>
      </c>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row>
    <row r="85" spans="1:147" outlineLevel="2">
      <c r="A85" s="116"/>
      <c r="B85" s="116"/>
      <c r="C85" s="116">
        <v>0</v>
      </c>
      <c r="D85" s="3"/>
      <c r="E85" s="184"/>
      <c r="F85" s="184"/>
      <c r="G85" s="184"/>
      <c r="H85" s="184"/>
      <c r="I85" s="184"/>
      <c r="J85" s="184"/>
      <c r="K85" s="184"/>
      <c r="L85" s="184"/>
      <c r="M85" s="185"/>
      <c r="N85" s="185"/>
      <c r="O85" s="186"/>
      <c r="P85" s="187"/>
      <c r="Q85" s="187"/>
      <c r="R85" s="188">
        <v>0</v>
      </c>
      <c r="S85" s="188">
        <v>0</v>
      </c>
      <c r="T85" s="185"/>
      <c r="U85" s="185"/>
      <c r="V85" s="189"/>
      <c r="W85" s="190">
        <v>0</v>
      </c>
      <c r="X85" s="191"/>
      <c r="Y85" s="186"/>
      <c r="Z85" s="192"/>
      <c r="AA85" s="97"/>
      <c r="AB85" s="193"/>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row>
    <row r="86" spans="1:147" outlineLevel="1">
      <c r="A86" s="116"/>
      <c r="B86" s="116"/>
      <c r="C86" s="116">
        <v>2</v>
      </c>
      <c r="D86" s="228" t="s">
        <v>1086</v>
      </c>
      <c r="E86" s="229"/>
      <c r="F86" s="240" t="s">
        <v>1085</v>
      </c>
      <c r="G86" s="229"/>
      <c r="H86" s="229"/>
      <c r="I86" s="229"/>
      <c r="J86" s="229"/>
      <c r="K86" s="229"/>
      <c r="L86" s="229"/>
      <c r="M86" s="230">
        <v>43636</v>
      </c>
      <c r="N86" s="230">
        <v>43637</v>
      </c>
      <c r="O86" s="231"/>
      <c r="P86" s="232">
        <v>2</v>
      </c>
      <c r="Q86" s="232">
        <v>0</v>
      </c>
      <c r="R86" s="233">
        <v>2</v>
      </c>
      <c r="S86" s="233">
        <v>0</v>
      </c>
      <c r="T86" s="230"/>
      <c r="U86" s="230"/>
      <c r="V86" s="234"/>
      <c r="W86" s="235">
        <v>0</v>
      </c>
      <c r="X86" s="236">
        <v>1</v>
      </c>
      <c r="Y86" s="231" t="s">
        <v>1153</v>
      </c>
      <c r="Z86" s="237"/>
      <c r="AA86" s="238">
        <v>0</v>
      </c>
      <c r="AB86" s="239">
        <v>0</v>
      </c>
      <c r="AC86" s="123"/>
      <c r="AD86" s="4"/>
      <c r="AE86" s="4"/>
      <c r="AF86" s="4"/>
      <c r="AG86" s="4"/>
      <c r="AH86" s="4"/>
      <c r="AI86" s="4"/>
      <c r="AJ86" s="4"/>
      <c r="AK86" s="4"/>
      <c r="AL86" s="4"/>
      <c r="AM86" s="4"/>
      <c r="AN86" s="4"/>
      <c r="AO86" s="4"/>
      <c r="AP86" s="4"/>
      <c r="AQ86" s="4"/>
      <c r="AR86" s="4"/>
      <c r="AS86" s="4" t="str">
        <f>"    " &amp; TEXT(AB86,"#0.00%") &amp; " " &amp; "프로젝트 결과 정리" &amp; "(조원 전체)" &amp; " " &amp; IF(M86="","",TEXT(M86,"M/D-")) &amp; IF(N86="","",TEXT(N86,"M/D")) &amp; " "</f>
        <v xml:space="preserve">    0.00% 프로젝트 결과 정리(조원 전체) 6/20-6/21 </v>
      </c>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row>
    <row r="87" spans="1:147">
      <c r="A87" s="194"/>
      <c r="B87" s="194"/>
      <c r="C87" s="194"/>
      <c r="D87" s="195"/>
      <c r="E87" s="196"/>
      <c r="F87" s="196"/>
      <c r="G87" s="196"/>
      <c r="H87" s="196"/>
      <c r="I87" s="196"/>
      <c r="J87" s="196"/>
      <c r="K87" s="196"/>
      <c r="L87" s="196"/>
      <c r="M87" s="197"/>
      <c r="N87" s="197"/>
      <c r="O87" s="198"/>
      <c r="P87" s="199"/>
      <c r="Q87" s="199"/>
      <c r="R87" s="200"/>
      <c r="S87" s="200"/>
      <c r="T87" s="197"/>
      <c r="U87" s="197"/>
      <c r="V87" s="201"/>
      <c r="W87" s="202"/>
      <c r="X87" s="203"/>
      <c r="Y87" s="198"/>
      <c r="Z87" s="204"/>
      <c r="AA87" s="205"/>
      <c r="AB87" s="206"/>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2"/>
      <c r="CY87" s="182"/>
      <c r="CZ87" s="182"/>
      <c r="DA87" s="182"/>
      <c r="DB87" s="182"/>
      <c r="DC87" s="182"/>
      <c r="DD87" s="182"/>
      <c r="DE87" s="182"/>
      <c r="DF87" s="182"/>
      <c r="DG87" s="182"/>
      <c r="DH87" s="182"/>
      <c r="DI87" s="182"/>
      <c r="DJ87" s="182"/>
      <c r="DK87" s="182"/>
      <c r="DL87" s="182"/>
      <c r="DM87" s="182"/>
      <c r="DN87" s="182"/>
      <c r="DO87" s="182"/>
      <c r="DP87" s="182"/>
      <c r="DQ87" s="182"/>
      <c r="DR87" s="182"/>
      <c r="DS87" s="182"/>
      <c r="DT87" s="182"/>
      <c r="DU87" s="182"/>
      <c r="DV87" s="182"/>
      <c r="DW87" s="182"/>
      <c r="DX87" s="182"/>
      <c r="DY87" s="182"/>
      <c r="DZ87" s="182"/>
      <c r="EA87" s="182"/>
      <c r="EB87" s="182"/>
      <c r="EC87" s="182"/>
      <c r="ED87" s="182"/>
      <c r="EE87" s="182"/>
      <c r="EF87" s="182"/>
      <c r="EG87" s="182"/>
      <c r="EH87" s="182"/>
      <c r="EI87" s="182"/>
      <c r="EJ87" s="182"/>
      <c r="EK87" s="182"/>
      <c r="EL87" s="182"/>
      <c r="EM87" s="182"/>
      <c r="EN87" s="182"/>
      <c r="EO87" s="182"/>
      <c r="EP87" s="182"/>
      <c r="EQ87" s="182"/>
    </row>
    <row r="88" spans="1:147">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147">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147">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147">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147">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147">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147">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147">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147">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207"/>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c r="D134" s="3"/>
      <c r="E134" s="184"/>
      <c r="F134" s="184"/>
      <c r="G134" s="18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c r="D139" s="3"/>
      <c r="E139" s="184"/>
      <c r="F139" s="184"/>
      <c r="G139" s="18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c r="D145" s="3"/>
      <c r="E145" s="184"/>
      <c r="F145" s="184"/>
      <c r="G145" s="18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69"/>
      <c r="B146" s="169"/>
      <c r="C146" s="169"/>
      <c r="D146" s="170"/>
      <c r="E146" s="171"/>
      <c r="F146" s="171"/>
      <c r="G146" s="171"/>
      <c r="H146" s="171"/>
      <c r="I146" s="171"/>
      <c r="J146" s="171"/>
      <c r="K146" s="171"/>
      <c r="L146" s="171"/>
      <c r="M146" s="172"/>
      <c r="N146" s="172"/>
      <c r="O146" s="173"/>
      <c r="P146" s="174"/>
      <c r="Q146" s="174"/>
      <c r="R146" s="175"/>
      <c r="S146" s="175"/>
      <c r="T146" s="172"/>
      <c r="U146" s="172"/>
      <c r="V146" s="176"/>
      <c r="W146" s="177"/>
      <c r="X146" s="178"/>
      <c r="Y146" s="173"/>
      <c r="Z146" s="179"/>
      <c r="AA146" s="180"/>
      <c r="AB146" s="181"/>
    </row>
  </sheetData>
  <sheetProtection formatCells="0" formatColumns="0" formatRows="0" insertColumns="0" insertRows="0" insertHyperlinks="0" deleteColumns="0" deleteRows="0" sort="0" autoFilter="0" pivotTables="0"/>
  <dataConsolidate/>
  <mergeCells count="29">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 ref="AS3:AV3"/>
  </mergeCells>
  <phoneticPr fontId="8" type="noConversion"/>
  <conditionalFormatting sqref="D5:AB8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1183</v>
      </c>
      <c r="B1" s="18"/>
      <c r="C1" s="18"/>
      <c r="D1" s="18"/>
      <c r="E1" s="18"/>
      <c r="F1" s="18"/>
      <c r="G1" s="18"/>
      <c r="H1" s="18"/>
      <c r="I1" s="18"/>
      <c r="J1" s="18"/>
      <c r="K1" s="18"/>
      <c r="L1" s="266"/>
      <c r="M1" s="267"/>
      <c r="N1" s="267"/>
      <c r="O1" s="19"/>
      <c r="P1" s="19"/>
      <c r="Q1" s="19"/>
    </row>
    <row r="2" spans="1:17" s="23" customFormat="1" ht="13.8">
      <c r="A2" s="21" t="s">
        <v>984</v>
      </c>
      <c r="B2" s="22"/>
    </row>
    <row r="3" spans="1:17" s="23" customFormat="1" ht="13.8">
      <c r="A3" s="21" t="s">
        <v>985</v>
      </c>
      <c r="B3" s="22"/>
    </row>
    <row r="4" spans="1:17" s="23" customFormat="1" ht="13.8">
      <c r="A4" s="268"/>
      <c r="B4" s="268"/>
      <c r="C4" s="24"/>
      <c r="D4" s="25"/>
      <c r="E4" s="25"/>
      <c r="F4" s="25"/>
    </row>
    <row r="5" spans="1:17" s="31" customFormat="1" ht="13.8">
      <c r="A5" s="26"/>
      <c r="B5" s="27"/>
      <c r="C5" s="28"/>
      <c r="D5" s="29"/>
      <c r="E5" s="30"/>
      <c r="F5" s="30"/>
      <c r="G5" s="30"/>
    </row>
    <row r="6" spans="1:17" s="31" customFormat="1" ht="13.8">
      <c r="A6" s="32" t="s">
        <v>986</v>
      </c>
      <c r="B6" s="33">
        <v>263</v>
      </c>
      <c r="C6" s="31" t="s">
        <v>0</v>
      </c>
      <c r="D6" s="265" t="s">
        <v>987</v>
      </c>
      <c r="E6" s="265"/>
      <c r="F6" s="265"/>
      <c r="G6" s="265"/>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988</v>
      </c>
      <c r="B9" s="33">
        <v>102</v>
      </c>
      <c r="C9" s="31" t="s">
        <v>0</v>
      </c>
      <c r="D9" s="264" t="s">
        <v>989</v>
      </c>
      <c r="E9" s="264"/>
      <c r="F9" s="264"/>
      <c r="G9" s="264"/>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983</v>
      </c>
      <c r="B12" s="33">
        <v>77.400000000000006</v>
      </c>
      <c r="C12" s="31" t="s">
        <v>0</v>
      </c>
      <c r="D12" s="264" t="s">
        <v>1184</v>
      </c>
      <c r="E12" s="264"/>
      <c r="F12" s="264"/>
      <c r="G12" s="264"/>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983</v>
      </c>
      <c r="B15" s="33"/>
      <c r="C15" s="31" t="s">
        <v>0</v>
      </c>
      <c r="D15" s="264" t="s">
        <v>990</v>
      </c>
      <c r="E15" s="264"/>
      <c r="F15" s="264"/>
      <c r="G15" s="264"/>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991</v>
      </c>
      <c r="B18" s="55">
        <v>0.38783269961977185</v>
      </c>
      <c r="D18" s="264" t="s">
        <v>992</v>
      </c>
      <c r="E18" s="264"/>
      <c r="F18" s="264"/>
      <c r="G18" s="264"/>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993</v>
      </c>
      <c r="B21" s="55">
        <v>0.29429657794676806</v>
      </c>
      <c r="D21" s="264" t="s">
        <v>994</v>
      </c>
      <c r="E21" s="264"/>
      <c r="F21" s="264"/>
      <c r="G21" s="264"/>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995</v>
      </c>
      <c r="B24" s="65">
        <f>ACTUAL_RATE-PLANNED_RATE</f>
        <v>-9.3536121673003791E-2</v>
      </c>
      <c r="D24" s="265" t="s">
        <v>996</v>
      </c>
      <c r="E24" s="265"/>
      <c r="F24" s="265"/>
      <c r="G24" s="265"/>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8"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13"/>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08" customWidth="1"/>
    <col min="2" max="2" width="9.09765625" style="208"/>
    <col min="3" max="3" width="9.796875" style="208" bestFit="1" customWidth="1"/>
    <col min="4" max="5" width="9.09765625" style="208"/>
    <col min="6" max="6" width="10.69921875" style="208" customWidth="1"/>
    <col min="7" max="16384" width="9.09765625" style="208"/>
  </cols>
  <sheetData>
    <row r="1" spans="2:16" ht="37.049999999999997" customHeight="1">
      <c r="B1" s="78" t="s">
        <v>1162</v>
      </c>
    </row>
    <row r="2" spans="2:16">
      <c r="B2" s="208" t="s">
        <v>1163</v>
      </c>
    </row>
    <row r="3" spans="2:16">
      <c r="B3" s="208" t="s">
        <v>1164</v>
      </c>
    </row>
    <row r="4" spans="2:16">
      <c r="B4" s="216">
        <v>21</v>
      </c>
      <c r="C4" s="208" t="s">
        <v>1160</v>
      </c>
    </row>
    <row r="6" spans="2:16" ht="28.8">
      <c r="B6" s="79" t="s">
        <v>1053</v>
      </c>
      <c r="C6" s="183" t="s">
        <v>997</v>
      </c>
      <c r="D6" s="183" t="s">
        <v>998</v>
      </c>
      <c r="E6" s="183" t="s">
        <v>1165</v>
      </c>
      <c r="F6" s="183" t="s">
        <v>1166</v>
      </c>
      <c r="G6" s="269" t="s">
        <v>1161</v>
      </c>
      <c r="H6" s="269"/>
      <c r="I6" s="269"/>
      <c r="J6" s="269"/>
      <c r="K6" s="269"/>
      <c r="L6" s="269"/>
      <c r="M6" s="269"/>
      <c r="N6" s="269"/>
      <c r="O6" s="269"/>
      <c r="P6" s="270"/>
    </row>
    <row r="7" spans="2:16">
      <c r="B7" s="217" t="s">
        <v>1153</v>
      </c>
      <c r="C7" s="224">
        <v>43521</v>
      </c>
      <c r="D7" s="224">
        <v>43637</v>
      </c>
      <c r="E7" s="225">
        <v>95</v>
      </c>
      <c r="F7" s="225">
        <f>E7/$B$4</f>
        <v>4.5238095238095237</v>
      </c>
      <c r="G7" s="219" t="str">
        <f t="shared" ref="G7:G12" si="0">REPT("|",IF(E7&gt;0,IF(E7/1&lt;1,1,E7/1)))</f>
        <v>|||||||||||||||||||||||||||||||||||||||||||||||||||||||||||||||||||||||||||||||||||||||||||||||</v>
      </c>
      <c r="H7" s="218"/>
      <c r="I7" s="218"/>
      <c r="J7" s="218"/>
      <c r="K7" s="218"/>
      <c r="L7" s="218"/>
      <c r="M7" s="218"/>
      <c r="N7" s="218"/>
      <c r="O7" s="218"/>
      <c r="P7" s="218"/>
    </row>
    <row r="8" spans="2:16">
      <c r="B8" s="220" t="s">
        <v>1156</v>
      </c>
      <c r="C8" s="226">
        <v>43524</v>
      </c>
      <c r="D8" s="226">
        <v>43565</v>
      </c>
      <c r="E8" s="227">
        <v>43.5</v>
      </c>
      <c r="F8" s="227">
        <f t="shared" ref="F8:F12" si="1">E8/$B$4</f>
        <v>2.0714285714285716</v>
      </c>
      <c r="G8" s="222" t="str">
        <f t="shared" si="0"/>
        <v>|||||||||||||||||||||||||||||||||||||||||||</v>
      </c>
      <c r="H8" s="221"/>
      <c r="I8" s="221"/>
      <c r="J8" s="221"/>
      <c r="K8" s="221"/>
      <c r="L8" s="221"/>
      <c r="M8" s="221"/>
      <c r="N8" s="221"/>
      <c r="O8" s="221"/>
      <c r="P8" s="221"/>
    </row>
    <row r="9" spans="2:16">
      <c r="B9" s="220" t="s">
        <v>1087</v>
      </c>
      <c r="C9" s="226">
        <v>43535</v>
      </c>
      <c r="D9" s="226">
        <v>43560</v>
      </c>
      <c r="E9" s="227">
        <v>42.5</v>
      </c>
      <c r="F9" s="227">
        <f t="shared" si="1"/>
        <v>2.0238095238095237</v>
      </c>
      <c r="G9" s="222" t="str">
        <f t="shared" si="0"/>
        <v>||||||||||||||||||||||||||||||||||||||||||</v>
      </c>
      <c r="H9" s="221"/>
      <c r="I9" s="221"/>
      <c r="J9" s="221"/>
      <c r="K9" s="221"/>
      <c r="L9" s="221"/>
      <c r="M9" s="221"/>
      <c r="N9" s="221"/>
      <c r="O9" s="221"/>
      <c r="P9" s="221"/>
    </row>
    <row r="10" spans="2:16">
      <c r="B10" s="220" t="s">
        <v>1093</v>
      </c>
      <c r="C10" s="226">
        <v>43535</v>
      </c>
      <c r="D10" s="226">
        <v>43565</v>
      </c>
      <c r="E10" s="227">
        <v>32</v>
      </c>
      <c r="F10" s="227">
        <f t="shared" si="1"/>
        <v>1.5238095238095237</v>
      </c>
      <c r="G10" s="222" t="str">
        <f t="shared" si="0"/>
        <v>||||||||||||||||||||||||||||||||</v>
      </c>
      <c r="H10" s="221"/>
      <c r="I10" s="221"/>
      <c r="J10" s="221"/>
      <c r="K10" s="221"/>
      <c r="L10" s="221"/>
      <c r="M10" s="221"/>
      <c r="N10" s="221"/>
      <c r="O10" s="221"/>
      <c r="P10" s="221"/>
    </row>
    <row r="11" spans="2:16">
      <c r="B11" s="220" t="s">
        <v>1094</v>
      </c>
      <c r="C11" s="226">
        <v>43535</v>
      </c>
      <c r="D11" s="226">
        <v>43565</v>
      </c>
      <c r="E11" s="227">
        <v>30.5</v>
      </c>
      <c r="F11" s="227">
        <f t="shared" si="1"/>
        <v>1.4523809523809523</v>
      </c>
      <c r="G11" s="222" t="str">
        <f t="shared" si="0"/>
        <v>||||||||||||||||||||||||||||||</v>
      </c>
      <c r="H11" s="221"/>
      <c r="I11" s="221"/>
      <c r="J11" s="221"/>
      <c r="K11" s="221"/>
      <c r="L11" s="221"/>
      <c r="M11" s="221"/>
      <c r="N11" s="221"/>
      <c r="O11" s="221"/>
      <c r="P11" s="221"/>
    </row>
    <row r="12" spans="2:16">
      <c r="B12" s="220" t="s">
        <v>1155</v>
      </c>
      <c r="C12" s="226">
        <v>43535</v>
      </c>
      <c r="D12" s="226">
        <v>43565</v>
      </c>
      <c r="E12" s="227">
        <v>29.5</v>
      </c>
      <c r="F12" s="227">
        <f t="shared" si="1"/>
        <v>1.4047619047619047</v>
      </c>
      <c r="G12" s="222" t="str">
        <f t="shared" si="0"/>
        <v>|||||||||||||||||||||||||||||</v>
      </c>
      <c r="H12" s="221"/>
      <c r="I12" s="221"/>
      <c r="J12" s="221"/>
      <c r="K12" s="221"/>
      <c r="L12" s="221"/>
      <c r="M12" s="221"/>
      <c r="N12" s="221"/>
      <c r="O12" s="221"/>
      <c r="P12" s="221"/>
    </row>
    <row r="13" spans="2:16">
      <c r="D13" s="208" t="s">
        <v>3</v>
      </c>
      <c r="E13" s="223">
        <f>SUM(E7:E12)</f>
        <v>273</v>
      </c>
      <c r="F13" s="223">
        <f>E13/$B$4</f>
        <v>13</v>
      </c>
    </row>
  </sheetData>
  <sortState ref="A7:L78">
    <sortCondition ref="A7:A49"/>
    <sortCondition ref="B7:B49"/>
  </sortState>
  <dataConsolidate/>
  <mergeCells count="1">
    <mergeCell ref="G6:P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999</v>
      </c>
      <c r="B1" s="17"/>
      <c r="C1" s="17"/>
      <c r="D1" s="17"/>
      <c r="E1" s="17"/>
      <c r="F1" s="17"/>
      <c r="G1" s="17"/>
      <c r="H1" s="17"/>
    </row>
    <row r="2" spans="1:9" s="81" customFormat="1" ht="78.75" customHeight="1">
      <c r="A2" s="271" t="s">
        <v>1000</v>
      </c>
      <c r="B2" s="271"/>
      <c r="C2" s="271"/>
      <c r="D2" s="271"/>
      <c r="E2" s="271"/>
      <c r="F2" s="271"/>
      <c r="G2" s="271"/>
      <c r="H2" s="271"/>
    </row>
    <row r="3" spans="1:9" s="81" customFormat="1" ht="24.75" customHeight="1">
      <c r="A3" s="272" t="s">
        <v>1001</v>
      </c>
      <c r="B3" s="272"/>
      <c r="D3" s="272" t="s">
        <v>1002</v>
      </c>
      <c r="E3" s="272"/>
      <c r="G3" s="272" t="s">
        <v>1003</v>
      </c>
      <c r="H3" s="272"/>
    </row>
    <row r="4" spans="1:9" s="83" customFormat="1" ht="19.5" customHeight="1">
      <c r="A4" s="82" t="s">
        <v>1004</v>
      </c>
      <c r="B4" s="82" t="s">
        <v>1006</v>
      </c>
      <c r="D4" s="82" t="s">
        <v>1005</v>
      </c>
      <c r="E4" s="82" t="s">
        <v>1007</v>
      </c>
      <c r="G4" s="82" t="s">
        <v>1005</v>
      </c>
      <c r="H4" s="82" t="s">
        <v>1006</v>
      </c>
    </row>
    <row r="5" spans="1:9" ht="17.399999999999999">
      <c r="A5" s="210" t="s">
        <v>1015</v>
      </c>
      <c r="B5" s="119">
        <v>43498</v>
      </c>
      <c r="C5" s="86" t="str">
        <f t="shared" ref="C5:C68" si="0">IF(B5&gt;0,TEXT(B5,"(aaa)"),"")</f>
        <v>(토)</v>
      </c>
      <c r="D5" s="84"/>
      <c r="E5" s="85"/>
      <c r="F5" s="86" t="str">
        <f t="shared" ref="F5:F68" si="1">IF(E5&gt;0,TEXT(E5,"(aaa)"),"")</f>
        <v/>
      </c>
      <c r="G5" s="84"/>
      <c r="H5" s="85"/>
      <c r="I5" s="86" t="str">
        <f t="shared" ref="I5:I68" si="2">IF(H5&gt;0,TEXT(H5,"(aaa)"),"")</f>
        <v/>
      </c>
    </row>
    <row r="6" spans="1:9" ht="17.399999999999999">
      <c r="A6" s="210" t="s">
        <v>1016</v>
      </c>
      <c r="B6" s="119">
        <v>43499</v>
      </c>
      <c r="C6" s="86" t="str">
        <f t="shared" si="0"/>
        <v>(일)</v>
      </c>
      <c r="D6" s="84"/>
      <c r="E6" s="85"/>
      <c r="F6" s="86" t="str">
        <f t="shared" si="1"/>
        <v/>
      </c>
      <c r="G6" s="84"/>
      <c r="H6" s="85"/>
      <c r="I6" s="86" t="str">
        <f t="shared" si="2"/>
        <v/>
      </c>
    </row>
    <row r="7" spans="1:9" ht="17.399999999999999">
      <c r="A7" s="210" t="s">
        <v>1017</v>
      </c>
      <c r="B7" s="119">
        <v>43500</v>
      </c>
      <c r="C7" s="86" t="str">
        <f t="shared" si="0"/>
        <v>(월)</v>
      </c>
      <c r="D7" s="84"/>
      <c r="E7" s="85"/>
      <c r="F7" s="86" t="str">
        <f t="shared" si="1"/>
        <v/>
      </c>
      <c r="G7" s="84"/>
      <c r="H7" s="85"/>
      <c r="I7" s="86" t="str">
        <f t="shared" si="2"/>
        <v/>
      </c>
    </row>
    <row r="8" spans="1:9" ht="17.399999999999999">
      <c r="A8" s="210" t="s">
        <v>1017</v>
      </c>
      <c r="B8" s="119">
        <v>43501</v>
      </c>
      <c r="C8" s="86" t="str">
        <f t="shared" si="0"/>
        <v>(화)</v>
      </c>
      <c r="D8" s="84"/>
      <c r="E8" s="85"/>
      <c r="F8" s="86" t="str">
        <f t="shared" si="1"/>
        <v/>
      </c>
      <c r="G8" s="84"/>
      <c r="H8" s="85"/>
      <c r="I8" s="86" t="str">
        <f t="shared" si="2"/>
        <v/>
      </c>
    </row>
    <row r="9" spans="1:9" ht="17.399999999999999">
      <c r="A9" s="210" t="s">
        <v>1018</v>
      </c>
      <c r="B9" s="119">
        <v>43502</v>
      </c>
      <c r="C9" s="86" t="str">
        <f t="shared" si="0"/>
        <v>(수)</v>
      </c>
      <c r="D9" s="84"/>
      <c r="E9" s="85"/>
      <c r="F9" s="86" t="str">
        <f t="shared" si="1"/>
        <v/>
      </c>
      <c r="G9" s="84"/>
      <c r="H9" s="85"/>
      <c r="I9" s="86" t="str">
        <f t="shared" si="2"/>
        <v/>
      </c>
    </row>
    <row r="10" spans="1:9" ht="17.399999999999999">
      <c r="A10" s="210" t="s">
        <v>1019</v>
      </c>
      <c r="B10" s="119">
        <v>43505</v>
      </c>
      <c r="C10" s="86" t="str">
        <f t="shared" si="0"/>
        <v>(토)</v>
      </c>
      <c r="D10" s="84"/>
      <c r="E10" s="85"/>
      <c r="F10" s="86" t="str">
        <f t="shared" si="1"/>
        <v/>
      </c>
      <c r="G10" s="84"/>
      <c r="H10" s="85"/>
      <c r="I10" s="86" t="str">
        <f t="shared" si="2"/>
        <v/>
      </c>
    </row>
    <row r="11" spans="1:9" ht="17.399999999999999">
      <c r="A11" s="210" t="s">
        <v>1016</v>
      </c>
      <c r="B11" s="119">
        <v>43506</v>
      </c>
      <c r="C11" s="86" t="str">
        <f t="shared" si="0"/>
        <v>(일)</v>
      </c>
      <c r="D11" s="84"/>
      <c r="E11" s="85"/>
      <c r="F11" s="86" t="str">
        <f t="shared" si="1"/>
        <v/>
      </c>
      <c r="G11" s="84"/>
      <c r="H11" s="85"/>
      <c r="I11" s="86" t="str">
        <f t="shared" si="2"/>
        <v/>
      </c>
    </row>
    <row r="12" spans="1:9" ht="17.399999999999999">
      <c r="A12" s="210" t="s">
        <v>1019</v>
      </c>
      <c r="B12" s="119">
        <v>43512</v>
      </c>
      <c r="C12" s="86" t="str">
        <f t="shared" si="0"/>
        <v>(토)</v>
      </c>
      <c r="D12" s="84"/>
      <c r="E12" s="85"/>
      <c r="F12" s="86" t="str">
        <f t="shared" si="1"/>
        <v/>
      </c>
      <c r="G12" s="84"/>
      <c r="H12" s="85"/>
      <c r="I12" s="86" t="str">
        <f t="shared" si="2"/>
        <v/>
      </c>
    </row>
    <row r="13" spans="1:9" ht="17.399999999999999">
      <c r="A13" s="210" t="s">
        <v>1019</v>
      </c>
      <c r="B13" s="119">
        <v>43513</v>
      </c>
      <c r="C13" s="86" t="str">
        <f t="shared" si="0"/>
        <v>(일)</v>
      </c>
      <c r="D13" s="84"/>
      <c r="E13" s="85"/>
      <c r="F13" s="86" t="str">
        <f t="shared" si="1"/>
        <v/>
      </c>
      <c r="G13" s="84"/>
      <c r="H13" s="85"/>
      <c r="I13" s="86" t="str">
        <f t="shared" si="2"/>
        <v/>
      </c>
    </row>
    <row r="14" spans="1:9" ht="17.399999999999999">
      <c r="A14" s="210" t="s">
        <v>1019</v>
      </c>
      <c r="B14" s="119">
        <v>43519</v>
      </c>
      <c r="C14" s="86" t="str">
        <f t="shared" si="0"/>
        <v>(토)</v>
      </c>
      <c r="D14" s="84"/>
      <c r="E14" s="85"/>
      <c r="F14" s="86" t="str">
        <f t="shared" si="1"/>
        <v/>
      </c>
      <c r="G14" s="84"/>
      <c r="H14" s="85"/>
      <c r="I14" s="86" t="str">
        <f t="shared" si="2"/>
        <v/>
      </c>
    </row>
    <row r="15" spans="1:9" ht="17.399999999999999">
      <c r="A15" s="210" t="s">
        <v>1019</v>
      </c>
      <c r="B15" s="119">
        <v>43520</v>
      </c>
      <c r="C15" s="86" t="str">
        <f t="shared" si="0"/>
        <v>(일)</v>
      </c>
      <c r="D15" s="84"/>
      <c r="E15" s="85"/>
      <c r="F15" s="86" t="str">
        <f t="shared" si="1"/>
        <v/>
      </c>
      <c r="G15" s="84"/>
      <c r="H15" s="85"/>
      <c r="I15" s="86" t="str">
        <f t="shared" si="2"/>
        <v/>
      </c>
    </row>
    <row r="16" spans="1:9" ht="17.399999999999999">
      <c r="A16" s="210" t="s">
        <v>1020</v>
      </c>
      <c r="B16" s="119">
        <v>43525</v>
      </c>
      <c r="C16" s="86" t="str">
        <f t="shared" si="0"/>
        <v>(금)</v>
      </c>
      <c r="D16" s="84"/>
      <c r="E16" s="85"/>
      <c r="F16" s="86" t="str">
        <f t="shared" si="1"/>
        <v/>
      </c>
      <c r="G16" s="84"/>
      <c r="H16" s="85"/>
      <c r="I16" s="86" t="str">
        <f t="shared" si="2"/>
        <v/>
      </c>
    </row>
    <row r="17" spans="1:10" ht="17.399999999999999">
      <c r="A17" s="210" t="s">
        <v>1021</v>
      </c>
      <c r="B17" s="119">
        <v>43526</v>
      </c>
      <c r="C17" s="86" t="str">
        <f>IF(B17&gt;0,TEXT(B17,"(aaa)"),"")</f>
        <v>(토)</v>
      </c>
      <c r="D17" s="84"/>
      <c r="E17" s="85"/>
      <c r="F17" s="86" t="str">
        <f t="shared" si="1"/>
        <v/>
      </c>
      <c r="G17" s="84"/>
      <c r="H17" s="85"/>
      <c r="I17" s="86" t="str">
        <f t="shared" si="2"/>
        <v/>
      </c>
    </row>
    <row r="18" spans="1:10" ht="17.399999999999999">
      <c r="A18" s="210" t="s">
        <v>1022</v>
      </c>
      <c r="B18" s="119">
        <v>43527</v>
      </c>
      <c r="C18" s="86" t="str">
        <f>IF(B18&gt;0,TEXT(B18,"(aaa)"),"")</f>
        <v>(일)</v>
      </c>
      <c r="D18" s="84"/>
      <c r="E18" s="85"/>
      <c r="F18" s="86" t="str">
        <f t="shared" si="1"/>
        <v/>
      </c>
      <c r="G18" s="84"/>
      <c r="H18" s="85"/>
      <c r="I18" s="86" t="str">
        <f t="shared" si="2"/>
        <v/>
      </c>
    </row>
    <row r="19" spans="1:10" ht="17.399999999999999">
      <c r="A19" s="211" t="s">
        <v>1023</v>
      </c>
      <c r="B19" s="119">
        <v>43540</v>
      </c>
      <c r="C19" s="86" t="str">
        <f>IF(B19&gt;0,TEXT(B19,"(aaa)"),"")</f>
        <v>(토)</v>
      </c>
      <c r="D19" s="84"/>
      <c r="E19" s="85"/>
      <c r="F19" s="86" t="str">
        <f t="shared" si="1"/>
        <v/>
      </c>
      <c r="G19" s="84"/>
      <c r="H19" s="85"/>
      <c r="I19" s="86" t="str">
        <f t="shared" si="2"/>
        <v/>
      </c>
      <c r="J19" s="87"/>
    </row>
    <row r="20" spans="1:10" ht="17.399999999999999">
      <c r="A20" s="211" t="s">
        <v>1023</v>
      </c>
      <c r="B20" s="119">
        <v>43541</v>
      </c>
      <c r="C20" s="86" t="str">
        <f t="shared" si="0"/>
        <v>(일)</v>
      </c>
      <c r="D20" s="84"/>
      <c r="E20" s="85"/>
      <c r="F20" s="86" t="str">
        <f t="shared" si="1"/>
        <v/>
      </c>
      <c r="G20" s="84"/>
      <c r="H20" s="85"/>
      <c r="I20" s="86" t="str">
        <f t="shared" si="2"/>
        <v/>
      </c>
      <c r="J20" s="87"/>
    </row>
    <row r="21" spans="1:10" ht="17.399999999999999">
      <c r="A21" s="211" t="s">
        <v>1023</v>
      </c>
      <c r="B21" s="119">
        <v>43547</v>
      </c>
      <c r="C21" s="86" t="str">
        <f t="shared" si="0"/>
        <v>(토)</v>
      </c>
      <c r="D21" s="84"/>
      <c r="E21" s="85"/>
      <c r="F21" s="86" t="str">
        <f t="shared" si="1"/>
        <v/>
      </c>
      <c r="G21" s="84"/>
      <c r="H21" s="85"/>
      <c r="I21" s="86" t="str">
        <f t="shared" si="2"/>
        <v/>
      </c>
    </row>
    <row r="22" spans="1:10" ht="17.399999999999999">
      <c r="A22" s="211" t="s">
        <v>1024</v>
      </c>
      <c r="B22" s="119">
        <v>43548</v>
      </c>
      <c r="C22" s="86" t="str">
        <f t="shared" si="0"/>
        <v>(일)</v>
      </c>
      <c r="D22" s="84"/>
      <c r="E22" s="85"/>
      <c r="F22" s="86" t="str">
        <f t="shared" si="1"/>
        <v/>
      </c>
      <c r="G22" s="84"/>
      <c r="H22" s="85"/>
      <c r="I22" s="86" t="str">
        <f t="shared" si="2"/>
        <v/>
      </c>
    </row>
    <row r="23" spans="1:10" ht="17.399999999999999">
      <c r="A23" s="211" t="s">
        <v>1023</v>
      </c>
      <c r="B23" s="119">
        <v>43554</v>
      </c>
      <c r="C23" s="86" t="str">
        <f t="shared" si="0"/>
        <v>(토)</v>
      </c>
      <c r="D23" s="84"/>
      <c r="E23" s="85"/>
      <c r="F23" s="86" t="str">
        <f t="shared" si="1"/>
        <v/>
      </c>
      <c r="G23" s="84"/>
      <c r="H23" s="85"/>
      <c r="I23" s="86" t="str">
        <f t="shared" si="2"/>
        <v/>
      </c>
    </row>
    <row r="24" spans="1:10" ht="17.399999999999999">
      <c r="A24" s="211" t="s">
        <v>1023</v>
      </c>
      <c r="B24" s="119">
        <v>43555</v>
      </c>
      <c r="C24" s="86" t="str">
        <f t="shared" si="0"/>
        <v>(일)</v>
      </c>
      <c r="D24" s="84"/>
      <c r="E24" s="85"/>
      <c r="F24" s="86" t="str">
        <f t="shared" si="1"/>
        <v/>
      </c>
      <c r="G24" s="84"/>
      <c r="H24" s="85"/>
      <c r="I24" s="86" t="str">
        <f t="shared" si="2"/>
        <v/>
      </c>
    </row>
    <row r="25" spans="1:10" ht="17.399999999999999">
      <c r="A25" s="211" t="s">
        <v>1025</v>
      </c>
      <c r="B25" s="119">
        <v>43561</v>
      </c>
      <c r="C25" s="86" t="str">
        <f t="shared" si="0"/>
        <v>(토)</v>
      </c>
      <c r="D25" s="84"/>
      <c r="E25" s="85"/>
      <c r="F25" s="86" t="str">
        <f t="shared" si="1"/>
        <v/>
      </c>
      <c r="G25" s="84"/>
      <c r="H25" s="85"/>
      <c r="I25" s="86" t="str">
        <f t="shared" si="2"/>
        <v/>
      </c>
    </row>
    <row r="26" spans="1:10" ht="17.399999999999999">
      <c r="A26" s="211" t="s">
        <v>1025</v>
      </c>
      <c r="B26" s="119">
        <v>43562</v>
      </c>
      <c r="C26" s="86" t="str">
        <f t="shared" si="0"/>
        <v>(일)</v>
      </c>
      <c r="D26" s="84"/>
      <c r="E26" s="85"/>
      <c r="F26" s="86" t="str">
        <f t="shared" si="1"/>
        <v/>
      </c>
      <c r="G26" s="84"/>
      <c r="H26" s="85"/>
      <c r="I26" s="86" t="str">
        <f t="shared" si="2"/>
        <v/>
      </c>
    </row>
    <row r="27" spans="1:10" ht="17.399999999999999">
      <c r="A27" s="211" t="s">
        <v>1025</v>
      </c>
      <c r="B27" s="119">
        <v>43568</v>
      </c>
      <c r="C27" s="86" t="str">
        <f t="shared" si="0"/>
        <v>(토)</v>
      </c>
      <c r="D27" s="84"/>
      <c r="E27" s="85"/>
      <c r="F27" s="86" t="str">
        <f t="shared" si="1"/>
        <v/>
      </c>
      <c r="G27" s="84"/>
      <c r="H27" s="85"/>
      <c r="I27" s="86" t="str">
        <f t="shared" si="2"/>
        <v/>
      </c>
    </row>
    <row r="28" spans="1:10" ht="17.399999999999999">
      <c r="A28" s="211" t="s">
        <v>1025</v>
      </c>
      <c r="B28" s="119">
        <v>43569</v>
      </c>
      <c r="C28" s="86" t="str">
        <f t="shared" si="0"/>
        <v>(일)</v>
      </c>
      <c r="D28" s="84"/>
      <c r="E28" s="85"/>
      <c r="F28" s="86" t="str">
        <f t="shared" si="1"/>
        <v/>
      </c>
      <c r="G28" s="84"/>
      <c r="H28" s="85"/>
      <c r="I28" s="86" t="str">
        <f t="shared" si="2"/>
        <v/>
      </c>
    </row>
    <row r="29" spans="1:10" ht="17.399999999999999">
      <c r="A29" s="211" t="s">
        <v>1026</v>
      </c>
      <c r="B29" s="119">
        <v>43575</v>
      </c>
      <c r="C29" s="86" t="str">
        <f t="shared" si="0"/>
        <v>(토)</v>
      </c>
      <c r="D29" s="84"/>
      <c r="E29" s="85"/>
      <c r="F29" s="86" t="str">
        <f t="shared" si="1"/>
        <v/>
      </c>
      <c r="G29" s="84"/>
      <c r="H29" s="85"/>
      <c r="I29" s="86" t="str">
        <f t="shared" si="2"/>
        <v/>
      </c>
    </row>
    <row r="30" spans="1:10" ht="17.399999999999999">
      <c r="A30" s="211" t="s">
        <v>1025</v>
      </c>
      <c r="B30" s="119">
        <v>43576</v>
      </c>
      <c r="C30" s="86" t="str">
        <f t="shared" si="0"/>
        <v>(일)</v>
      </c>
      <c r="D30" s="84"/>
      <c r="E30" s="85"/>
      <c r="F30" s="86" t="str">
        <f t="shared" si="1"/>
        <v/>
      </c>
      <c r="G30" s="84"/>
      <c r="H30" s="85"/>
      <c r="I30" s="86" t="str">
        <f t="shared" si="2"/>
        <v/>
      </c>
    </row>
    <row r="31" spans="1:10" ht="17.399999999999999">
      <c r="A31" s="211" t="s">
        <v>1025</v>
      </c>
      <c r="B31" s="119">
        <v>43582</v>
      </c>
      <c r="C31" s="86" t="str">
        <f t="shared" si="0"/>
        <v>(토)</v>
      </c>
      <c r="D31" s="84"/>
      <c r="E31" s="85"/>
      <c r="F31" s="86" t="str">
        <f t="shared" si="1"/>
        <v/>
      </c>
      <c r="G31" s="84"/>
      <c r="H31" s="85"/>
      <c r="I31" s="86" t="str">
        <f t="shared" si="2"/>
        <v/>
      </c>
    </row>
    <row r="32" spans="1:10" ht="17.399999999999999">
      <c r="A32" s="211" t="s">
        <v>1025</v>
      </c>
      <c r="B32" s="119">
        <v>43583</v>
      </c>
      <c r="C32" s="86" t="str">
        <f t="shared" si="0"/>
        <v>(일)</v>
      </c>
      <c r="D32" s="84"/>
      <c r="E32" s="85"/>
      <c r="F32" s="86" t="str">
        <f t="shared" si="1"/>
        <v/>
      </c>
      <c r="G32" s="84"/>
      <c r="H32" s="85"/>
      <c r="I32" s="86" t="str">
        <f t="shared" si="2"/>
        <v/>
      </c>
    </row>
    <row r="33" spans="1:9" ht="17.399999999999999">
      <c r="A33" s="211" t="s">
        <v>1027</v>
      </c>
      <c r="B33" s="119">
        <v>43589</v>
      </c>
      <c r="C33" s="86" t="str">
        <f t="shared" si="0"/>
        <v>(토)</v>
      </c>
      <c r="D33" s="84"/>
      <c r="E33" s="85"/>
      <c r="F33" s="86" t="str">
        <f t="shared" si="1"/>
        <v/>
      </c>
      <c r="G33" s="84"/>
      <c r="H33" s="85"/>
      <c r="I33" s="86" t="str">
        <f t="shared" si="2"/>
        <v/>
      </c>
    </row>
    <row r="34" spans="1:9" ht="17.399999999999999">
      <c r="A34" s="211" t="s">
        <v>1027</v>
      </c>
      <c r="B34" s="119">
        <v>43590</v>
      </c>
      <c r="C34" s="86" t="str">
        <f t="shared" si="0"/>
        <v>(일)</v>
      </c>
      <c r="D34" s="84"/>
      <c r="E34" s="85"/>
      <c r="F34" s="86" t="str">
        <f t="shared" si="1"/>
        <v/>
      </c>
      <c r="G34" s="84"/>
      <c r="H34" s="85"/>
      <c r="I34" s="86" t="str">
        <f t="shared" si="2"/>
        <v/>
      </c>
    </row>
    <row r="35" spans="1:9" ht="17.399999999999999">
      <c r="A35" s="211" t="s">
        <v>1028</v>
      </c>
      <c r="B35" s="119">
        <v>43591</v>
      </c>
      <c r="C35" s="86" t="str">
        <f t="shared" si="0"/>
        <v>(월)</v>
      </c>
      <c r="D35" s="84"/>
      <c r="E35" s="85"/>
      <c r="F35" s="86" t="str">
        <f t="shared" si="1"/>
        <v/>
      </c>
      <c r="G35" s="84"/>
      <c r="H35" s="85"/>
      <c r="I35" s="86" t="str">
        <f t="shared" si="2"/>
        <v/>
      </c>
    </row>
    <row r="36" spans="1:9" ht="17.399999999999999">
      <c r="A36" s="211" t="s">
        <v>1029</v>
      </c>
      <c r="B36" s="119">
        <v>43596</v>
      </c>
      <c r="C36" s="86" t="str">
        <f t="shared" si="0"/>
        <v>(토)</v>
      </c>
      <c r="D36" s="84"/>
      <c r="E36" s="85"/>
      <c r="F36" s="86" t="str">
        <f t="shared" si="1"/>
        <v/>
      </c>
      <c r="G36" s="84"/>
      <c r="H36" s="85"/>
      <c r="I36" s="86" t="str">
        <f t="shared" si="2"/>
        <v/>
      </c>
    </row>
    <row r="37" spans="1:9" ht="17.399999999999999">
      <c r="A37" s="211" t="s">
        <v>1029</v>
      </c>
      <c r="B37" s="119">
        <v>43597</v>
      </c>
      <c r="C37" s="86" t="str">
        <f t="shared" si="0"/>
        <v>(일)</v>
      </c>
      <c r="D37" s="84"/>
      <c r="E37" s="85"/>
      <c r="F37" s="86" t="str">
        <f t="shared" si="1"/>
        <v/>
      </c>
      <c r="G37" s="84"/>
      <c r="H37" s="85"/>
      <c r="I37" s="86" t="str">
        <f t="shared" si="2"/>
        <v/>
      </c>
    </row>
    <row r="38" spans="1:9" ht="17.399999999999999">
      <c r="A38" s="211" t="s">
        <v>1029</v>
      </c>
      <c r="B38" s="119">
        <v>43603</v>
      </c>
      <c r="C38" s="86" t="str">
        <f t="shared" si="0"/>
        <v>(토)</v>
      </c>
      <c r="D38" s="84"/>
      <c r="E38" s="85"/>
      <c r="F38" s="86" t="str">
        <f t="shared" si="1"/>
        <v/>
      </c>
      <c r="G38" s="84"/>
      <c r="H38" s="85"/>
      <c r="I38" s="86" t="str">
        <f t="shared" si="2"/>
        <v/>
      </c>
    </row>
    <row r="39" spans="1:9" ht="17.399999999999999">
      <c r="A39" s="211" t="s">
        <v>1029</v>
      </c>
      <c r="B39" s="119">
        <v>43604</v>
      </c>
      <c r="C39" s="86" t="str">
        <f t="shared" si="0"/>
        <v>(일)</v>
      </c>
      <c r="D39" s="84"/>
      <c r="E39" s="85"/>
      <c r="F39" s="86" t="str">
        <f t="shared" si="1"/>
        <v/>
      </c>
      <c r="G39" s="84"/>
      <c r="H39" s="85"/>
      <c r="I39" s="86" t="str">
        <f t="shared" si="2"/>
        <v/>
      </c>
    </row>
    <row r="40" spans="1:9" ht="17.399999999999999">
      <c r="A40" s="211" t="s">
        <v>1029</v>
      </c>
      <c r="B40" s="119">
        <v>43610</v>
      </c>
      <c r="C40" s="86" t="str">
        <f t="shared" si="0"/>
        <v>(토)</v>
      </c>
      <c r="D40" s="84"/>
      <c r="E40" s="85"/>
      <c r="F40" s="86" t="str">
        <f t="shared" si="1"/>
        <v/>
      </c>
      <c r="G40" s="84"/>
      <c r="H40" s="85"/>
      <c r="I40" s="86" t="str">
        <f t="shared" si="2"/>
        <v/>
      </c>
    </row>
    <row r="41" spans="1:9" ht="17.399999999999999">
      <c r="A41" s="211" t="s">
        <v>1029</v>
      </c>
      <c r="B41" s="119">
        <v>43611</v>
      </c>
      <c r="C41" s="86" t="str">
        <f t="shared" si="0"/>
        <v>(일)</v>
      </c>
      <c r="D41" s="84"/>
      <c r="E41" s="85"/>
      <c r="F41" s="86" t="str">
        <f t="shared" si="1"/>
        <v/>
      </c>
      <c r="G41" s="84"/>
      <c r="H41" s="85"/>
      <c r="I41" s="86" t="str">
        <f t="shared" si="2"/>
        <v/>
      </c>
    </row>
    <row r="42" spans="1:9" ht="17.399999999999999">
      <c r="A42" s="211" t="s">
        <v>1030</v>
      </c>
      <c r="B42" s="119">
        <v>43617</v>
      </c>
      <c r="C42" s="86" t="str">
        <f t="shared" si="0"/>
        <v>(토)</v>
      </c>
      <c r="D42" s="84"/>
      <c r="E42" s="85"/>
      <c r="F42" s="86" t="str">
        <f t="shared" si="1"/>
        <v/>
      </c>
      <c r="G42" s="84"/>
      <c r="H42" s="85"/>
      <c r="I42" s="86" t="str">
        <f t="shared" si="2"/>
        <v/>
      </c>
    </row>
    <row r="43" spans="1:9" ht="17.399999999999999">
      <c r="A43" s="211" t="s">
        <v>1031</v>
      </c>
      <c r="B43" s="119">
        <v>43618</v>
      </c>
      <c r="C43" s="86" t="str">
        <f t="shared" si="0"/>
        <v>(일)</v>
      </c>
      <c r="D43" s="84"/>
      <c r="E43" s="85"/>
      <c r="F43" s="86" t="str">
        <f t="shared" si="1"/>
        <v/>
      </c>
      <c r="G43" s="84"/>
      <c r="H43" s="85"/>
      <c r="I43" s="86" t="str">
        <f t="shared" si="2"/>
        <v/>
      </c>
    </row>
    <row r="44" spans="1:9" ht="17.399999999999999">
      <c r="A44" s="211" t="s">
        <v>1032</v>
      </c>
      <c r="B44" s="119">
        <v>43622</v>
      </c>
      <c r="C44" s="86" t="str">
        <f t="shared" si="0"/>
        <v>(목)</v>
      </c>
      <c r="D44" s="84"/>
      <c r="E44" s="85"/>
      <c r="F44" s="86" t="str">
        <f t="shared" si="1"/>
        <v/>
      </c>
      <c r="G44" s="84"/>
      <c r="H44" s="85"/>
      <c r="I44" s="86" t="str">
        <f t="shared" si="2"/>
        <v/>
      </c>
    </row>
    <row r="45" spans="1:9" ht="17.399999999999999">
      <c r="A45" s="211" t="s">
        <v>1033</v>
      </c>
      <c r="B45" s="119">
        <v>43624</v>
      </c>
      <c r="C45" s="86" t="str">
        <f t="shared" si="0"/>
        <v>(토)</v>
      </c>
      <c r="D45" s="84"/>
      <c r="E45" s="85"/>
      <c r="F45" s="86" t="str">
        <f t="shared" si="1"/>
        <v/>
      </c>
      <c r="G45" s="84"/>
      <c r="H45" s="85"/>
      <c r="I45" s="86" t="str">
        <f t="shared" si="2"/>
        <v/>
      </c>
    </row>
    <row r="46" spans="1:9" ht="17.399999999999999">
      <c r="A46" s="211" t="s">
        <v>1033</v>
      </c>
      <c r="B46" s="119">
        <v>43625</v>
      </c>
      <c r="C46" s="86" t="str">
        <f t="shared" si="0"/>
        <v>(일)</v>
      </c>
      <c r="D46" s="84"/>
      <c r="E46" s="85"/>
      <c r="F46" s="86" t="str">
        <f t="shared" si="1"/>
        <v/>
      </c>
      <c r="G46" s="84"/>
      <c r="H46" s="85"/>
      <c r="I46" s="86" t="str">
        <f t="shared" si="2"/>
        <v/>
      </c>
    </row>
    <row r="47" spans="1:9" ht="17.399999999999999">
      <c r="A47" s="211" t="s">
        <v>1033</v>
      </c>
      <c r="B47" s="119">
        <v>43631</v>
      </c>
      <c r="C47" s="86" t="str">
        <f t="shared" si="0"/>
        <v>(토)</v>
      </c>
      <c r="D47" s="84"/>
      <c r="E47" s="85"/>
      <c r="F47" s="86" t="str">
        <f t="shared" si="1"/>
        <v/>
      </c>
      <c r="G47" s="84"/>
      <c r="H47" s="85"/>
      <c r="I47" s="86" t="str">
        <f t="shared" si="2"/>
        <v/>
      </c>
    </row>
    <row r="48" spans="1:9" ht="17.399999999999999">
      <c r="A48" s="211" t="s">
        <v>1033</v>
      </c>
      <c r="B48" s="119">
        <v>43632</v>
      </c>
      <c r="C48" s="86" t="str">
        <f t="shared" si="0"/>
        <v>(일)</v>
      </c>
      <c r="D48" s="84"/>
      <c r="E48" s="85"/>
      <c r="F48" s="86" t="str">
        <f t="shared" si="1"/>
        <v/>
      </c>
      <c r="G48" s="84"/>
      <c r="H48" s="85"/>
      <c r="I48" s="86" t="str">
        <f t="shared" si="2"/>
        <v/>
      </c>
    </row>
    <row r="49" spans="1:9" ht="15">
      <c r="A49" s="211" t="s">
        <v>1034</v>
      </c>
      <c r="B49" s="119">
        <v>43638</v>
      </c>
      <c r="C49" s="86" t="str">
        <f t="shared" si="0"/>
        <v>(토)</v>
      </c>
      <c r="D49" s="84"/>
      <c r="E49" s="85"/>
      <c r="F49" s="86" t="str">
        <f t="shared" si="1"/>
        <v/>
      </c>
      <c r="G49" s="84"/>
      <c r="H49" s="85"/>
      <c r="I49" s="86" t="str">
        <f t="shared" si="2"/>
        <v/>
      </c>
    </row>
    <row r="50" spans="1:9" ht="15">
      <c r="A50" s="211" t="s">
        <v>1034</v>
      </c>
      <c r="B50" s="119">
        <v>43639</v>
      </c>
      <c r="C50" s="86" t="str">
        <f t="shared" si="0"/>
        <v>(일)</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1008</v>
      </c>
      <c r="D305" s="86" t="s">
        <v>1008</v>
      </c>
      <c r="G305" s="86" t="s">
        <v>1008</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사용자</cp:lastModifiedBy>
  <dcterms:created xsi:type="dcterms:W3CDTF">2018-02-18T09:45:14Z</dcterms:created>
  <dcterms:modified xsi:type="dcterms:W3CDTF">2019-03-19T23:55:35Z</dcterms:modified>
</cp:coreProperties>
</file>