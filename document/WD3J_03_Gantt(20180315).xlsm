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LeeSJ\Desktop\캡스톤\캡스톤디자인산출물양식\"/>
    </mc:Choice>
  </mc:AlternateContent>
  <bookViews>
    <workbookView xWindow="0" yWindow="0" windowWidth="13416" windowHeight="1524"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8"/>
  <externalReferences>
    <externalReference r:id="rId8"/>
  </externalReferences>
  <definedNames>
    <definedName name="_xlnm._FilterDatabase" localSheetId="3" hidden="1">Schedule!$M$3:$AB$89</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E5" i="2" l="1"/>
  <c r="AE6" i="2"/>
  <c r="AF8" i="2"/>
  <c r="AQ8" i="2"/>
  <c r="AE9" i="2"/>
  <c r="AE10" i="2"/>
  <c r="AE11" i="2"/>
  <c r="AD13" i="2"/>
  <c r="AE14" i="2"/>
  <c r="AE15" i="2"/>
  <c r="AE16" i="2"/>
  <c r="AE17" i="2"/>
  <c r="AD18" i="2"/>
  <c r="AG20" i="2"/>
  <c r="AQ20" i="2"/>
  <c r="AF21" i="2"/>
  <c r="AF22" i="2"/>
  <c r="AF23" i="2"/>
  <c r="AF24" i="2"/>
  <c r="AE26" i="2"/>
  <c r="AI26" i="2"/>
  <c r="AF27" i="2"/>
  <c r="AI27" i="2"/>
  <c r="AF28" i="2"/>
  <c r="AF29" i="2"/>
  <c r="AF30" i="2"/>
  <c r="AF31" i="2"/>
  <c r="AF33" i="2"/>
  <c r="AF34" i="2"/>
  <c r="AF35" i="2"/>
  <c r="AF36" i="2"/>
  <c r="AG37" i="2"/>
  <c r="AG38" i="2"/>
  <c r="AG39" i="2"/>
  <c r="AF40" i="2"/>
  <c r="AG42" i="2"/>
  <c r="AH43" i="2"/>
  <c r="AG44" i="2"/>
  <c r="AH45" i="2"/>
  <c r="AH46" i="2"/>
  <c r="AH47" i="2"/>
  <c r="AI48" i="2"/>
  <c r="AE50" i="2"/>
  <c r="AI50" i="2"/>
  <c r="AF51" i="2"/>
  <c r="AF52" i="2"/>
  <c r="AF53" i="2"/>
  <c r="AF54" i="2"/>
  <c r="AF55" i="2"/>
  <c r="AF56" i="2"/>
  <c r="AF58" i="2"/>
  <c r="AF59" i="2"/>
  <c r="AF60" i="2"/>
  <c r="AF61" i="2"/>
  <c r="AG62" i="2"/>
  <c r="AF63" i="2"/>
  <c r="AG65" i="2"/>
  <c r="AH66" i="2"/>
  <c r="AG67" i="2"/>
  <c r="AH68" i="2"/>
  <c r="AH69" i="2"/>
  <c r="AI70" i="2"/>
  <c r="AG72" i="2"/>
  <c r="AQ72" i="2"/>
  <c r="AG73" i="2"/>
  <c r="AI74" i="2"/>
  <c r="AN75" i="2"/>
  <c r="AK77" i="2"/>
  <c r="AS77" i="2"/>
  <c r="AK78" i="2"/>
  <c r="AK79" i="2"/>
  <c r="AM80" i="2"/>
  <c r="AP82" i="2"/>
  <c r="AP83" i="2"/>
  <c r="AR84" i="2"/>
  <c r="AS86" i="2"/>
  <c r="G7" i="4"/>
  <c r="G8" i="4"/>
  <c r="G9" i="4"/>
  <c r="G10" i="4"/>
  <c r="G11" i="4"/>
  <c r="G12" i="4"/>
  <c r="E13" i="4"/>
  <c r="F13" i="4" s="1"/>
  <c r="F12" i="4"/>
  <c r="F11" i="4"/>
  <c r="F10" i="4"/>
  <c r="F9" i="4"/>
  <c r="F8" i="4"/>
  <c r="F7" i="4"/>
  <c r="H130" i="8"/>
  <c r="C49" i="5" l="1"/>
  <c r="C50" i="5"/>
  <c r="C20" i="5"/>
  <c r="C21" i="5"/>
  <c r="C22" i="5"/>
  <c r="C23" i="5"/>
  <c r="C24" i="5"/>
  <c r="C25" i="5"/>
  <c r="C26" i="5"/>
  <c r="C27" i="5"/>
  <c r="C28" i="5"/>
  <c r="C29" i="5"/>
  <c r="C30" i="5"/>
  <c r="C31" i="5"/>
  <c r="C32" i="5"/>
  <c r="C33" i="5"/>
  <c r="C34" i="5"/>
  <c r="C35" i="5"/>
  <c r="C36" i="5"/>
  <c r="C37" i="5"/>
  <c r="C38" i="5"/>
  <c r="C39" i="5"/>
  <c r="C40" i="5"/>
  <c r="C41" i="5"/>
  <c r="C42" i="5"/>
  <c r="C43" i="5"/>
  <c r="C44" i="5"/>
  <c r="C19" i="5"/>
  <c r="C18" i="5"/>
  <c r="C17" i="5"/>
  <c r="C45" i="5"/>
  <c r="C46" i="5"/>
  <c r="C47" i="5"/>
  <c r="C48" i="5"/>
  <c r="C16" i="5"/>
  <c r="C10" i="5"/>
  <c r="C11" i="5"/>
  <c r="C12" i="5"/>
  <c r="C13" i="5"/>
  <c r="C14" i="5"/>
  <c r="C15" i="5"/>
  <c r="D1" i="2"/>
  <c r="C5" i="5" l="1"/>
  <c r="C6" i="5"/>
  <c r="C7" i="5"/>
  <c r="C8" i="5"/>
  <c r="C9"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AB2" i="2"/>
  <c r="AB1" i="2"/>
</calcChain>
</file>

<file path=xl/sharedStrings.xml><?xml version="1.0" encoding="utf-8"?>
<sst xmlns="http://schemas.openxmlformats.org/spreadsheetml/2006/main" count="1727" uniqueCount="1204">
  <si>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</si>
  <si>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</si>
  <si>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</si>
  <si>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</si>
  <si>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</si>
  <si>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</si>
  <si>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</si>
  <si>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</si>
  <si>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</si>
  <si>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</si>
  <si>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</si>
  <si>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</si>
  <si>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</si>
  <si>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</si>
  <si>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</si>
  <si>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</si>
  <si>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</si>
  <si>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</si>
  <si>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</si>
  <si>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</si>
  <si>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</si>
  <si>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</si>
  <si>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</si>
  <si>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</si>
  <si>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</si>
  <si>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</si>
  <si>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</si>
  <si>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</si>
  <si>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</si>
  <si>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</si>
  <si>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</si>
  <si>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</si>
  <si>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</si>
  <si>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</si>
  <si>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</si>
  <si>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</si>
  <si>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</si>
  <si>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</si>
  <si>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</si>
  <si>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</si>
  <si>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</si>
  <si>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</si>
  <si>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</si>
  <si>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</si>
  <si>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</si>
  <si>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</si>
  <si>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</si>
  <si>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</si>
  <si>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</si>
  <si>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</si>
  <si>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</si>
  <si>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</si>
  <si>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</si>
  <si>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</si>
  <si>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</si>
  <si>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</si>
  <si>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</si>
  <si>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</si>
  <si>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</si>
  <si>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</si>
  <si>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</si>
  <si>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</si>
  <si>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</si>
  <si>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</si>
  <si>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</si>
  <si>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</si>
  <si>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</si>
  <si>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</si>
  <si>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</si>
  <si>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</si>
  <si>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</si>
  <si>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</si>
  <si>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</si>
  <si>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</si>
  <si>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</si>
  <si>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</si>
  <si>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</si>
  <si>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</si>
  <si>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</si>
  <si>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</si>
  <si>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</si>
  <si>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</si>
  <si>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</si>
  <si>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</si>
  <si>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</si>
  <si>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</si>
  <si>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</si>
  <si>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</si>
  <si>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</si>
  <si>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</si>
  <si>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</si>
  <si>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</si>
  <si>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</si>
  <si>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</si>
  <si>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</si>
  <si>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</si>
  <si>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</si>
  <si>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</si>
  <si>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</si>
  <si>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</si>
  <si>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</si>
  <si>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</si>
  <si>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</si>
  <si>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</si>
  <si>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</si>
  <si>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</si>
  <si>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</si>
  <si>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</si>
  <si>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</si>
  <si>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</si>
  <si>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</si>
  <si>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</si>
  <si>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</si>
  <si>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</si>
  <si>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</si>
  <si>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</si>
  <si>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</si>
  <si>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</si>
  <si>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</si>
  <si>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</si>
  <si>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</si>
  <si>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</si>
  <si>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</si>
  <si>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</si>
  <si>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</si>
  <si>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</si>
  <si>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</si>
  <si>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</si>
  <si>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</si>
  <si>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</si>
  <si>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</si>
  <si>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</si>
  <si>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</si>
  <si>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</si>
  <si>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</si>
  <si>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</si>
  <si>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</si>
  <si>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</si>
  <si>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</si>
  <si>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</si>
  <si>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</si>
  <si>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</si>
  <si>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</si>
  <si>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</si>
  <si>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</si>
  <si>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</si>
  <si>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</si>
  <si>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</si>
  <si>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</si>
  <si>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</si>
  <si>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</si>
  <si>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</si>
  <si>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</si>
  <si>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</si>
  <si>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</si>
  <si>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</si>
  <si>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</si>
  <si>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</si>
  <si>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</si>
  <si>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</si>
  <si>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</si>
  <si>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</si>
  <si>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</si>
  <si>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</si>
  <si>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</si>
  <si>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</si>
  <si>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</si>
  <si>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</si>
  <si>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</si>
  <si>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</si>
  <si>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</si>
  <si>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</si>
  <si>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</si>
  <si>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</si>
  <si>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</si>
  <si>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</si>
  <si>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</si>
  <si>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</si>
  <si>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</si>
  <si>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</si>
  <si>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</si>
  <si>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</si>
  <si>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</si>
  <si>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</si>
  <si>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</si>
  <si>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</si>
  <si>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</si>
  <si>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</si>
  <si>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</si>
  <si>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</si>
  <si>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</si>
  <si>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</si>
  <si>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</si>
  <si>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</si>
  <si>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</si>
  <si>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</si>
  <si>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</si>
  <si>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</si>
  <si>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</si>
  <si>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</si>
  <si>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</si>
  <si>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</si>
  <si>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</si>
  <si>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</si>
  <si>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</si>
  <si>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</si>
  <si>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</si>
  <si>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</si>
  <si>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</si>
  <si>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</si>
  <si>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</si>
  <si>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</si>
  <si>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</si>
  <si>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</si>
  <si>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</si>
  <si>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</si>
  <si>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</si>
  <si>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</si>
  <si>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</si>
  <si>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</si>
  <si>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</si>
  <si>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</si>
  <si>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</si>
  <si>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</si>
  <si>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</si>
  <si>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</si>
  <si>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</si>
  <si>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</si>
  <si>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</si>
  <si>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</si>
  <si>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</si>
  <si>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</si>
  <si>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</si>
  <si>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</si>
  <si>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</si>
  <si>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</si>
  <si>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</si>
  <si>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</si>
  <si>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</si>
  <si>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</si>
  <si>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</si>
  <si>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</si>
  <si>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</si>
  <si>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</si>
  <si>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</si>
  <si>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</si>
  <si>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</si>
  <si>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</si>
  <si>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</si>
  <si>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</si>
  <si>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</si>
  <si>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</si>
  <si>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</si>
  <si>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</si>
  <si>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</si>
  <si>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</si>
  <si>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</si>
  <si>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</si>
  <si>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</si>
  <si>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</si>
  <si>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</si>
  <si>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</si>
  <si>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</si>
  <si>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</si>
  <si>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</si>
  <si>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</si>
  <si>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</si>
  <si>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</si>
  <si>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</si>
  <si>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</si>
  <si>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</si>
  <si>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</si>
  <si>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</si>
  <si>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</si>
  <si>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</si>
  <si>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</si>
  <si>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</si>
  <si>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</si>
  <si>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</si>
  <si>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</si>
  <si>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</si>
  <si>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</si>
  <si>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</si>
  <si>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</si>
  <si>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</si>
  <si>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</si>
  <si>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</si>
  <si>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</si>
  <si>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</si>
  <si>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</si>
  <si>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</si>
  <si>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</si>
  <si>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</si>
  <si>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</si>
  <si>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</si>
  <si>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</si>
  <si>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</si>
  <si>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</si>
  <si>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</si>
  <si>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</si>
  <si>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</si>
  <si>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</si>
  <si>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</si>
  <si>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</si>
  <si>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</si>
  <si>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</si>
  <si>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</si>
  <si>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</si>
  <si>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</si>
  <si>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</si>
  <si>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</si>
  <si>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</si>
  <si>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</si>
  <si>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</si>
  <si>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</si>
  <si>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</si>
  <si>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</si>
  <si>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</si>
  <si>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</si>
  <si>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</si>
  <si>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</si>
  <si>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</si>
  <si>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</si>
  <si>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</si>
  <si>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</si>
  <si>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</si>
  <si>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</si>
  <si>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</si>
  <si>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</si>
  <si>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</si>
  <si>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</si>
  <si>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</si>
  <si>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</si>
  <si>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</si>
  <si>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</si>
  <si>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</si>
  <si>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</si>
  <si>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</si>
  <si>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</si>
  <si>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</si>
  <si>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</si>
  <si>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</si>
  <si>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</si>
  <si>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</si>
  <si>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</si>
  <si>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</si>
  <si>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</si>
  <si>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</si>
  <si>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</si>
  <si>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</si>
  <si>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</si>
  <si>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</si>
  <si>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</si>
  <si>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</si>
  <si>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</si>
  <si>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</si>
  <si>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</si>
  <si>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</si>
  <si>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</si>
  <si>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</si>
  <si>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</si>
  <si>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</si>
  <si>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</si>
  <si>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</si>
  <si>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</si>
  <si>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</si>
  <si>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</si>
  <si>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</si>
  <si>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</si>
  <si>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</si>
  <si>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</si>
  <si>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</si>
  <si>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</si>
  <si>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</si>
  <si>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</si>
  <si>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</si>
  <si>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</si>
  <si>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</si>
  <si>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</si>
  <si>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</si>
  <si>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</si>
  <si>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</si>
  <si>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</si>
  <si>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</si>
  <si>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</si>
  <si>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</si>
  <si>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</si>
  <si>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</si>
  <si>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</si>
  <si>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</si>
  <si>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</si>
  <si>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</si>
  <si>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</si>
  <si>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</si>
  <si>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</si>
  <si>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</si>
  <si>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</si>
  <si>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</si>
  <si>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</si>
  <si>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</si>
  <si>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</si>
  <si>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</si>
  <si>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</si>
  <si>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</si>
  <si>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</si>
  <si>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</si>
  <si>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</si>
  <si>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</si>
  <si>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</si>
  <si>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</si>
  <si>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</si>
  <si>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</si>
  <si>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</si>
  <si>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</si>
  <si>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</si>
  <si>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</si>
  <si>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</si>
  <si>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</si>
  <si>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</si>
  <si>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</si>
  <si>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</si>
  <si>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</si>
  <si>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</si>
  <si>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</si>
  <si>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</si>
  <si>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</si>
  <si>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</si>
  <si>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</si>
  <si>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</si>
  <si>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</si>
  <si>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</si>
  <si>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</si>
  <si>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</si>
  <si>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</si>
  <si>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</si>
  <si>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</si>
  <si>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</si>
  <si>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</si>
  <si>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</si>
  <si>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</si>
  <si>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</si>
  <si>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</si>
  <si>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</si>
  <si>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</si>
  <si>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</si>
  <si>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</si>
  <si>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</si>
  <si>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</si>
  <si>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</si>
  <si>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</si>
  <si>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</si>
  <si>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</si>
  <si>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</si>
  <si>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</si>
  <si>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</si>
  <si>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</si>
  <si>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</si>
  <si>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</si>
  <si>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</si>
  <si>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</si>
  <si>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</si>
  <si>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</si>
  <si>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</si>
  <si>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</si>
  <si>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</si>
  <si>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</si>
  <si>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</si>
  <si>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</si>
  <si>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</si>
  <si>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</si>
  <si>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</si>
  <si>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</si>
  <si>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</si>
  <si>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</si>
  <si>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</si>
  <si>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</si>
  <si>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</si>
  <si>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</si>
  <si>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</si>
  <si>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</si>
  <si>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</si>
  <si>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</si>
  <si>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</si>
  <si>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</si>
  <si>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</si>
  <si>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</si>
  <si>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</si>
  <si>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</si>
  <si>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</si>
  <si>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</si>
  <si>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</si>
  <si>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</si>
  <si>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</si>
  <si>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</si>
  <si>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</si>
  <si>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</si>
  <si>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</si>
  <si>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</si>
  <si>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</si>
  <si>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</si>
  <si>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</si>
  <si>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</si>
  <si>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</si>
  <si>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</si>
  <si>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</si>
  <si>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</si>
  <si>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</si>
  <si>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</si>
  <si>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</si>
  <si>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</si>
  <si>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</si>
  <si>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</si>
  <si>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</si>
  <si>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</si>
  <si>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</si>
  <si>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</si>
  <si>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</si>
  <si>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</si>
  <si>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</si>
  <si>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</si>
  <si>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</si>
  <si>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</si>
  <si>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</si>
  <si>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</si>
  <si>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</si>
  <si>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</si>
  <si>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</si>
  <si>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</si>
  <si>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</si>
  <si>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</si>
  <si>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</si>
  <si>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</si>
  <si>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</si>
  <si>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</si>
  <si>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</si>
  <si>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</si>
  <si>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</si>
  <si>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</si>
  <si>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</si>
  <si>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</si>
  <si>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</si>
  <si>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</si>
  <si>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</si>
  <si>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</si>
  <si>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</si>
  <si>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</si>
  <si>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</si>
  <si>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</si>
  <si>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</si>
  <si>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</si>
  <si>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</si>
  <si>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</si>
  <si>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</si>
  <si>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</si>
  <si>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</si>
  <si>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</si>
  <si>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</si>
  <si>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</si>
  <si>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</si>
  <si>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</si>
  <si>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</si>
  <si>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</si>
  <si>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</si>
  <si>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</si>
  <si>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</si>
  <si>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</si>
  <si>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</si>
  <si>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</si>
  <si>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</si>
  <si>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</si>
  <si>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</si>
  <si>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</si>
  <si>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</si>
  <si>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</si>
  <si>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</si>
  <si>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</si>
  <si>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</si>
  <si>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</si>
  <si>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</si>
  <si>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</si>
  <si>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</si>
  <si>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</si>
  <si>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</si>
  <si>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</si>
  <si>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</si>
  <si>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</si>
  <si>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</si>
  <si>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</si>
  <si>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</si>
  <si>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</si>
  <si>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</si>
  <si>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</si>
  <si>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</si>
  <si>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</si>
  <si>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</si>
  <si>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</si>
  <si>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</si>
  <si>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</si>
  <si>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</si>
  <si>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</si>
  <si>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</si>
  <si>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</si>
  <si>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</si>
  <si>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</si>
  <si>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</si>
  <si>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</si>
  <si>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</si>
  <si>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</si>
  <si>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</si>
  <si>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</si>
  <si>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</si>
  <si>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</si>
  <si>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</si>
  <si>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</si>
  <si>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</si>
  <si>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</si>
  <si>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</si>
  <si>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</si>
  <si>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</si>
  <si>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</si>
  <si>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</si>
  <si>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</si>
  <si>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</si>
  <si>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</si>
  <si>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</si>
  <si>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</si>
  <si>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</si>
  <si>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</si>
  <si>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</si>
  <si>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</si>
  <si>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</si>
  <si>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</si>
  <si>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</si>
  <si>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</si>
  <si>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</si>
  <si>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</si>
  <si>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</si>
  <si>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</si>
  <si>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</si>
  <si>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</si>
  <si>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</si>
  <si>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</si>
  <si>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</si>
  <si>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</si>
  <si>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</si>
  <si>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</si>
  <si>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</si>
  <si>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</si>
  <si>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</si>
  <si>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</si>
  <si>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</si>
  <si>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</si>
  <si>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</si>
  <si>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</si>
  <si>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</si>
  <si>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</si>
  <si>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</si>
  <si>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</si>
  <si>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</si>
  <si>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</si>
  <si>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</si>
  <si>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</si>
  <si>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</si>
  <si>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</si>
  <si>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</si>
  <si>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</si>
  <si>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</si>
  <si>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</si>
  <si>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</si>
  <si>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</si>
  <si>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</si>
  <si>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</si>
  <si>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</si>
  <si>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</si>
  <si>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</si>
  <si>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</si>
  <si>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</si>
  <si>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</si>
  <si>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</si>
  <si>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</si>
  <si>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</si>
  <si>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</si>
  <si>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</si>
  <si>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</si>
  <si>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</si>
  <si>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</si>
  <si>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</si>
  <si>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</si>
  <si>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</si>
  <si>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</si>
  <si>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</si>
  <si>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</si>
  <si>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</si>
  <si>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</si>
  <si>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</si>
  <si>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</si>
  <si>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</si>
  <si>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</si>
  <si>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</si>
  <si>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</si>
  <si>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</si>
  <si>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</si>
  <si>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</si>
  <si>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</si>
  <si>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</si>
  <si>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</si>
  <si>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</si>
  <si>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</si>
  <si>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</si>
  <si>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</si>
  <si>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</si>
  <si>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</si>
  <si>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</si>
  <si>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</si>
  <si>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</si>
  <si>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</si>
  <si>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</si>
  <si>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</si>
  <si>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</si>
  <si>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</si>
  <si>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</si>
  <si>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</si>
  <si>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</si>
  <si>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</si>
  <si>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</si>
  <si>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</si>
  <si>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</si>
  <si>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</si>
  <si>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</si>
  <si>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</si>
  <si>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</si>
  <si>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</si>
  <si>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</si>
  <si>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</si>
  <si>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</si>
  <si>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</si>
  <si>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</si>
  <si>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</si>
  <si>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</si>
  <si>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</si>
  <si>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</si>
  <si>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</si>
  <si>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</si>
  <si>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</si>
  <si>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</si>
  <si>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</si>
  <si>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</si>
  <si>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</si>
  <si>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</si>
  <si>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</si>
  <si>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</si>
  <si>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</si>
  <si>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</si>
  <si>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</si>
  <si>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</si>
  <si>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</si>
  <si>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</si>
  <si>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</si>
  <si>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</si>
  <si>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</si>
  <si>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</si>
  <si>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</si>
  <si>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</si>
  <si>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</si>
  <si>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</si>
  <si>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</si>
  <si>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</si>
  <si>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</si>
  <si>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</si>
  <si>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</si>
  <si>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</si>
  <si>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</si>
  <si>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</si>
  <si>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</si>
  <si>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</si>
  <si>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</si>
  <si>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</si>
  <si>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</si>
  <si>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</si>
  <si>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</si>
  <si>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</si>
  <si>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</si>
  <si>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</si>
  <si>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</si>
  <si>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</si>
  <si>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</si>
  <si>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</si>
  <si>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</si>
  <si>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</si>
  <si>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</si>
  <si>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</si>
  <si>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</si>
  <si>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</si>
  <si>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</si>
  <si>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</si>
  <si>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</si>
  <si>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</si>
  <si>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</si>
  <si>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</si>
  <si>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</si>
  <si>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</si>
  <si>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</si>
  <si>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</si>
  <si>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</si>
  <si>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</si>
  <si>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</si>
  <si>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</si>
  <si>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</si>
  <si>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</si>
  <si>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</si>
  <si>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</si>
  <si>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</si>
  <si>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</si>
  <si>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</si>
  <si>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</si>
  <si>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</si>
  <si>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</si>
  <si>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</si>
  <si>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</si>
  <si>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</si>
  <si>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</si>
  <si>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</si>
  <si>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</si>
  <si>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</si>
  <si>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</si>
  <si>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</si>
  <si>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</si>
  <si>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</si>
  <si>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</si>
  <si>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</si>
  <si>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</si>
  <si>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</si>
  <si>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</si>
  <si>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</si>
  <si>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</si>
  <si>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</si>
  <si>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</si>
  <si>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</si>
  <si>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</si>
  <si>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</si>
  <si>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</si>
  <si>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</si>
  <si>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</si>
  <si>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</si>
  <si>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</si>
  <si>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</si>
  <si>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</si>
  <si>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</si>
  <si>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</si>
  <si>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</si>
  <si>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</si>
  <si>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</si>
  <si>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</si>
  <si>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</si>
  <si>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</si>
  <si>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</si>
  <si>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</si>
  <si>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</si>
  <si>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</si>
  <si>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</si>
  <si>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</si>
  <si>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</si>
  <si>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</si>
  <si>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</si>
  <si>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</si>
  <si>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</si>
  <si>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</si>
  <si>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</si>
  <si>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</si>
  <si>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</si>
  <si>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</si>
  <si>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</si>
  <si>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</si>
  <si>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</si>
  <si>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</si>
  <si>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</si>
  <si>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</si>
  <si>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</si>
  <si>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</si>
  <si>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</si>
  <si>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</si>
  <si>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</si>
  <si>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</si>
  <si>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</si>
  <si>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</si>
  <si>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</si>
  <si>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</si>
  <si>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</si>
  <si>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</si>
  <si>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</si>
  <si>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</si>
  <si>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</si>
  <si>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</si>
  <si>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</si>
  <si>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</si>
  <si>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</si>
  <si>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</si>
  <si>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</si>
  <si>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</si>
  <si>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</si>
  <si>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</si>
  <si>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</si>
  <si>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</si>
  <si>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</si>
  <si>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</si>
  <si>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</si>
  <si>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</si>
  <si>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</si>
  <si>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</si>
  <si>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</si>
  <si>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</si>
  <si>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</si>
  <si>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</si>
  <si>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</si>
  <si>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</si>
  <si>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</si>
  <si>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</si>
  <si>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</si>
  <si>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</si>
  <si>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</si>
  <si>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</si>
  <si>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</si>
  <si>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</si>
  <si>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</si>
  <si>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</si>
  <si>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</si>
  <si>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</si>
  <si>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</si>
  <si>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</si>
  <si>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</si>
  <si>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</si>
  <si>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</si>
  <si>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</si>
  <si>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</si>
  <si>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</si>
  <si>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</si>
  <si>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</si>
  <si>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</si>
  <si>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</si>
  <si>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</si>
  <si>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</si>
  <si>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</si>
  <si>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</si>
  <si>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</si>
  <si>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</si>
  <si>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</si>
  <si>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</si>
  <si>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</si>
  <si>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</si>
  <si>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</si>
  <si>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</si>
  <si>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</si>
  <si>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</si>
  <si>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</si>
  <si>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2.1.0</t>
    <phoneticPr fontId="2" type="noConversion"/>
  </si>
  <si>
    <t>2.1.1</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</si>
  <si>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</si>
  <si>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</si>
  <si>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</si>
  <si>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시스템 개발</t>
  </si>
  <si>
    <t>분석</t>
  </si>
  <si>
    <t>설계</t>
  </si>
  <si>
    <t>개발</t>
  </si>
  <si>
    <t>2.3.1.1</t>
  </si>
  <si>
    <t>2.3.2.1</t>
  </si>
  <si>
    <t>2.3.2.2</t>
  </si>
  <si>
    <t>C:\Temp</t>
    <phoneticPr fontId="8" type="noConversion"/>
  </si>
  <si>
    <t>G</t>
  </si>
  <si>
    <t>1</t>
  </si>
  <si>
    <t>1.1</t>
  </si>
  <si>
    <t>2</t>
  </si>
  <si>
    <t>2.1</t>
  </si>
  <si>
    <t>2.1.2</t>
  </si>
  <si>
    <t>2.2</t>
  </si>
  <si>
    <t>2.2.2</t>
  </si>
  <si>
    <t>2.3</t>
  </si>
  <si>
    <t>2.3.1</t>
  </si>
  <si>
    <t>2.3.1.2</t>
  </si>
  <si>
    <t>2.3.2</t>
  </si>
  <si>
    <t>메모장</t>
    <phoneticPr fontId="8" type="noConversion"/>
  </si>
  <si>
    <t>Display font color to the gray for the completed tasks</t>
    <phoneticPr fontId="2" type="noConversion"/>
  </si>
  <si>
    <t>ace</t>
    <phoneticPr fontId="8" type="noConversion"/>
  </si>
  <si>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</si>
  <si>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</si>
  <si>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</si>
  <si>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</si>
  <si>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</si>
  <si>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</si>
  <si>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</si>
  <si>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</si>
  <si>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</si>
  <si>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</si>
  <si>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</si>
  <si>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</si>
  <si>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</si>
  <si>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</si>
  <si>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</si>
  <si>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프로젝트 진행율 - 일정변경 관리하지 않을때</t>
    <phoneticPr fontId="8" type="noConversion"/>
  </si>
  <si>
    <t>시작일</t>
  </si>
  <si>
    <t>완료일</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</si>
  <si>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</si>
  <si>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</si>
  <si>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</si>
  <si>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</si>
  <si>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</si>
  <si>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</si>
  <si>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</si>
  <si>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</si>
  <si>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</si>
  <si>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</si>
  <si>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가중치</t>
    <phoneticPr fontId="8" type="noConversion"/>
  </si>
  <si>
    <t>자동지정</t>
    <phoneticPr fontId="8" type="noConversion"/>
  </si>
  <si>
    <t>실적*</t>
    <phoneticPr fontId="8" type="noConversion"/>
  </si>
  <si>
    <t>아크로에디터</t>
    <phoneticPr fontId="8" type="noConversion"/>
  </si>
  <si>
    <t>C:\WINDOWS\system32\notepad.exe</t>
    <phoneticPr fontId="8" type="noConversion"/>
  </si>
  <si>
    <t>시작일*</t>
    <phoneticPr fontId="8" type="noConversion"/>
  </si>
  <si>
    <t>계획_x000D_
기간</t>
    <phoneticPr fontId="8" type="noConversion"/>
  </si>
  <si>
    <t>실제_x000D_
완료일</t>
    <phoneticPr fontId="8" type="noConversion"/>
  </si>
  <si>
    <t>워드</t>
    <phoneticPr fontId="8" type="noConversion"/>
  </si>
  <si>
    <t>cad</t>
    <phoneticPr fontId="8" type="noConversion"/>
  </si>
  <si>
    <t>task_group</t>
    <phoneticPr fontId="8" type="noConversion"/>
  </si>
  <si>
    <t>일정변경관리 하지 않을 때 현재까지 실제로 진행된 작업기간을 표시함(총기간 x 총실적진행율)</t>
    <phoneticPr fontId="8" type="noConversion"/>
  </si>
  <si>
    <t>계획_x000D_
작업량</t>
    <phoneticPr fontId="8" type="noConversion"/>
  </si>
  <si>
    <t>계획</t>
    <phoneticPr fontId="8" type="noConversion"/>
  </si>
  <si>
    <t>{"TASK_FIRST_COL":"5","START_ROW":"5","WBS_AREA_LAST_COL":"28"}</t>
    <phoneticPr fontId="8" type="noConversion"/>
  </si>
  <si>
    <t>Calendar</t>
    <phoneticPr fontId="8" type="noConversion"/>
  </si>
  <si>
    <r>
      <t>2019</t>
    </r>
    <r>
      <rPr>
        <sz val="11"/>
        <color theme="1"/>
        <rFont val="맑은 고딕"/>
        <family val="3"/>
        <charset val="129"/>
      </rPr>
      <t>년</t>
    </r>
    <r>
      <rPr>
        <sz val="11"/>
        <rFont val="Cali"/>
        <family val="2"/>
      </rPr>
      <t xml:space="preserve"> 2</t>
    </r>
    <r>
      <rPr>
        <sz val="11"/>
        <color theme="1"/>
        <rFont val="맑은 고딕"/>
        <family val="3"/>
        <charset val="129"/>
      </rPr>
      <t>월주말</t>
    </r>
    <phoneticPr fontId="8" type="noConversion"/>
  </si>
  <si>
    <r>
      <t>2019</t>
    </r>
    <r>
      <rPr>
        <sz val="11"/>
        <color theme="1"/>
        <rFont val="맑은 고딕"/>
        <family val="3"/>
        <charset val="129"/>
      </rPr>
      <t>년</t>
    </r>
    <r>
      <rPr>
        <sz val="11"/>
        <rFont val="Cali"/>
        <family val="2"/>
      </rPr>
      <t xml:space="preserve"> 2</t>
    </r>
    <r>
      <rPr>
        <sz val="11"/>
        <color theme="1"/>
        <rFont val="맑은 고딕"/>
        <family val="3"/>
        <charset val="129"/>
      </rPr>
      <t>월주말</t>
    </r>
    <phoneticPr fontId="8" type="noConversion"/>
  </si>
  <si>
    <r>
      <t>2019</t>
    </r>
    <r>
      <rPr>
        <sz val="11"/>
        <color theme="1"/>
        <rFont val="맑은 고딕"/>
        <family val="3"/>
        <charset val="129"/>
      </rPr>
      <t>년</t>
    </r>
    <r>
      <rPr>
        <sz val="11"/>
        <rFont val="Cali"/>
        <family val="2"/>
      </rPr>
      <t xml:space="preserve"> </t>
    </r>
    <r>
      <rPr>
        <sz val="11"/>
        <rFont val="맑은 고딕"/>
        <family val="3"/>
        <charset val="129"/>
      </rPr>
      <t>설날</t>
    </r>
    <phoneticPr fontId="8" type="noConversion"/>
  </si>
  <si>
    <r>
      <t>2019</t>
    </r>
    <r>
      <rPr>
        <sz val="11"/>
        <color theme="1"/>
        <rFont val="맑은 고딕"/>
        <family val="3"/>
        <charset val="129"/>
      </rPr>
      <t>년</t>
    </r>
    <r>
      <rPr>
        <sz val="11"/>
        <rFont val="Cali"/>
        <family val="2"/>
      </rPr>
      <t xml:space="preserve"> </t>
    </r>
    <r>
      <rPr>
        <sz val="11"/>
        <rFont val="맑은 고딕"/>
        <family val="3"/>
        <charset val="129"/>
      </rPr>
      <t>설날</t>
    </r>
    <phoneticPr fontId="8" type="noConversion"/>
  </si>
  <si>
    <r>
      <t>2019</t>
    </r>
    <r>
      <rPr>
        <sz val="11"/>
        <color theme="1"/>
        <rFont val="맑은 고딕"/>
        <family val="3"/>
        <charset val="129"/>
      </rPr>
      <t>년</t>
    </r>
    <r>
      <rPr>
        <sz val="11"/>
        <rFont val="Cali"/>
        <family val="2"/>
      </rPr>
      <t xml:space="preserve"> 2</t>
    </r>
    <r>
      <rPr>
        <sz val="11"/>
        <color theme="1"/>
        <rFont val="맑은 고딕"/>
        <family val="3"/>
        <charset val="129"/>
      </rPr>
      <t>월주말</t>
    </r>
    <phoneticPr fontId="8" type="noConversion"/>
  </si>
  <si>
    <r>
      <t>2019</t>
    </r>
    <r>
      <rPr>
        <sz val="11"/>
        <rFont val="맑은 고딕"/>
        <family val="3"/>
        <charset val="129"/>
      </rPr>
      <t>년</t>
    </r>
    <r>
      <rPr>
        <sz val="11"/>
        <rFont val="Cal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</si>
  <si>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
        <family val="2"/>
      </rPr>
      <t xml:space="preserve"> 3</t>
    </r>
    <r>
      <rPr>
        <sz val="11"/>
        <rFont val="맑은 고딕"/>
        <family val="3"/>
        <charset val="129"/>
      </rPr>
      <t>월주말</t>
    </r>
    <phoneticPr fontId="2" type="noConversion"/>
  </si>
  <si>
    <r>
      <t>2019</t>
    </r>
    <r>
      <rPr>
        <sz val="11"/>
        <rFont val="맑은 고딕"/>
        <family val="3"/>
        <charset val="129"/>
      </rPr>
      <t>년</t>
    </r>
    <r>
      <rPr>
        <sz val="11"/>
        <rFont val="Cali"/>
        <family val="2"/>
      </rPr>
      <t xml:space="preserve"> 3</t>
    </r>
    <r>
      <rPr>
        <sz val="11"/>
        <rFont val="맑은 고딕"/>
        <family val="3"/>
        <charset val="129"/>
      </rPr>
      <t>월주말</t>
    </r>
    <phoneticPr fontId="2" type="noConversion"/>
  </si>
  <si>
    <r>
      <t>2019</t>
    </r>
    <r>
      <rPr>
        <sz val="11"/>
        <color theme="1"/>
        <rFont val="맑은 고딕"/>
        <family val="2"/>
      </rPr>
      <t>년</t>
    </r>
    <r>
      <rPr>
        <sz val="11"/>
        <rFont val="Cali"/>
        <family val="2"/>
      </rPr>
      <t xml:space="preserve"> 3</t>
    </r>
    <r>
      <rPr>
        <sz val="11"/>
        <color theme="1"/>
        <rFont val="맑은 고딕"/>
        <family val="2"/>
      </rPr>
      <t>월주말</t>
    </r>
    <phoneticPr fontId="8" type="noConversion"/>
  </si>
  <si>
    <r>
      <t>2019</t>
    </r>
    <r>
      <rPr>
        <sz val="11"/>
        <color theme="1"/>
        <rFont val="맑은 고딕"/>
        <family val="2"/>
      </rPr>
      <t>년</t>
    </r>
    <r>
      <rPr>
        <sz val="11"/>
        <rFont val="Cali"/>
        <family val="2"/>
      </rPr>
      <t xml:space="preserve"> 3</t>
    </r>
    <r>
      <rPr>
        <sz val="11"/>
        <color theme="1"/>
        <rFont val="맑은 고딕"/>
        <family val="2"/>
      </rPr>
      <t>월주말</t>
    </r>
    <phoneticPr fontId="8" type="noConversion"/>
  </si>
  <si>
    <r>
      <t>2019</t>
    </r>
    <r>
      <rPr>
        <sz val="11"/>
        <color theme="1"/>
        <rFont val="맑은 고딕"/>
        <family val="2"/>
      </rPr>
      <t>년</t>
    </r>
    <r>
      <rPr>
        <sz val="11"/>
        <rFont val="Cali"/>
        <family val="2"/>
      </rPr>
      <t xml:space="preserve"> 4</t>
    </r>
    <r>
      <rPr>
        <sz val="11"/>
        <color theme="1"/>
        <rFont val="맑은 고딕"/>
        <family val="2"/>
      </rPr>
      <t>월주말</t>
    </r>
    <r>
      <rPr>
        <sz val="11"/>
        <color theme="1"/>
        <rFont val="맑은 고딕"/>
        <family val="2"/>
        <scheme val="minor"/>
      </rPr>
      <t/>
    </r>
    <phoneticPr fontId="8" type="noConversion"/>
  </si>
  <si>
    <r>
      <t>2019</t>
    </r>
    <r>
      <rPr>
        <sz val="11"/>
        <color theme="1"/>
        <rFont val="맑은 고딕"/>
        <family val="2"/>
      </rPr>
      <t>년</t>
    </r>
    <r>
      <rPr>
        <sz val="11"/>
        <rFont val="Cali"/>
        <family val="2"/>
      </rPr>
      <t xml:space="preserve"> 4</t>
    </r>
    <r>
      <rPr>
        <sz val="11"/>
        <color theme="1"/>
        <rFont val="맑은 고딕"/>
        <family val="2"/>
      </rPr>
      <t>월주말</t>
    </r>
    <r>
      <rPr>
        <sz val="11"/>
        <color theme="1"/>
        <rFont val="맑은 고딕"/>
        <family val="2"/>
        <scheme val="minor"/>
      </rPr>
      <t/>
    </r>
    <phoneticPr fontId="8" type="noConversion"/>
  </si>
  <si>
    <r>
      <t>2019</t>
    </r>
    <r>
      <rPr>
        <sz val="11"/>
        <color theme="1"/>
        <rFont val="맑은 고딕"/>
        <family val="2"/>
      </rPr>
      <t>년</t>
    </r>
    <r>
      <rPr>
        <sz val="11"/>
        <rFont val="Cali"/>
        <family val="2"/>
      </rPr>
      <t xml:space="preserve"> 5</t>
    </r>
    <r>
      <rPr>
        <sz val="11"/>
        <color theme="1"/>
        <rFont val="맑은 고딕"/>
        <family val="2"/>
      </rPr>
      <t>월주말</t>
    </r>
    <phoneticPr fontId="8" type="noConversion"/>
  </si>
  <si>
    <r>
      <t>2019</t>
    </r>
    <r>
      <rPr>
        <sz val="11"/>
        <rFont val="맑은 고딕"/>
        <family val="3"/>
        <charset val="129"/>
      </rPr>
      <t>년</t>
    </r>
    <r>
      <rPr>
        <sz val="11"/>
        <rFont val="Cali"/>
        <family val="2"/>
      </rPr>
      <t xml:space="preserve"> </t>
    </r>
    <r>
      <rPr>
        <sz val="11"/>
        <rFont val="맑은 고딕"/>
        <family val="3"/>
        <charset val="129"/>
      </rPr>
      <t>어린이날</t>
    </r>
    <r>
      <rPr>
        <sz val="11"/>
        <rFont val="Cali"/>
        <family val="2"/>
      </rPr>
      <t xml:space="preserve"> </t>
    </r>
    <r>
      <rPr>
        <sz val="11"/>
        <rFont val="맑은 고딕"/>
        <family val="3"/>
        <charset val="129"/>
      </rPr>
      <t>대체</t>
    </r>
    <r>
      <rPr>
        <sz val="11"/>
        <rFont val="Cali"/>
        <family val="2"/>
      </rPr>
      <t xml:space="preserve"> </t>
    </r>
    <r>
      <rPr>
        <sz val="11"/>
        <rFont val="맑은 고딕"/>
        <family val="3"/>
        <charset val="129"/>
      </rPr>
      <t>공휴일</t>
    </r>
    <phoneticPr fontId="8" type="noConversion"/>
  </si>
  <si>
    <r>
      <t>2019</t>
    </r>
    <r>
      <rPr>
        <sz val="11"/>
        <color theme="1"/>
        <rFont val="맑은 고딕"/>
        <family val="2"/>
      </rPr>
      <t>년</t>
    </r>
    <r>
      <rPr>
        <sz val="11"/>
        <rFont val="Cali"/>
        <family val="2"/>
      </rPr>
      <t xml:space="preserve"> 5</t>
    </r>
    <r>
      <rPr>
        <sz val="11"/>
        <rFont val="Calibri"/>
        <family val="2"/>
      </rPr>
      <t>월주말</t>
    </r>
    <r>
      <rPr>
        <sz val="11"/>
        <color theme="1"/>
        <rFont val="맑은 고딕"/>
        <family val="2"/>
        <scheme val="minor"/>
      </rPr>
      <t/>
    </r>
  </si>
  <si>
    <r>
      <t>2019</t>
    </r>
    <r>
      <rPr>
        <sz val="11"/>
        <color theme="1"/>
        <rFont val="맑은 고딕"/>
        <family val="2"/>
      </rPr>
      <t>년</t>
    </r>
    <r>
      <rPr>
        <sz val="11"/>
        <rFont val="Cali"/>
        <family val="2"/>
      </rPr>
      <t xml:space="preserve"> 6</t>
    </r>
    <r>
      <rPr>
        <sz val="11"/>
        <color theme="1"/>
        <rFont val="맑은 고딕"/>
        <family val="2"/>
      </rPr>
      <t>월주말</t>
    </r>
    <phoneticPr fontId="8" type="noConversion"/>
  </si>
  <si>
    <r>
      <t>2019</t>
    </r>
    <r>
      <rPr>
        <sz val="11"/>
        <color theme="1"/>
        <rFont val="맑은 고딕"/>
        <family val="2"/>
      </rPr>
      <t>년</t>
    </r>
    <r>
      <rPr>
        <sz val="11"/>
        <rFont val="Cali"/>
        <family val="2"/>
      </rPr>
      <t xml:space="preserve"> 6</t>
    </r>
    <r>
      <rPr>
        <sz val="11"/>
        <color theme="1"/>
        <rFont val="맑은 고딕"/>
        <family val="2"/>
      </rPr>
      <t>월주말</t>
    </r>
    <phoneticPr fontId="8" type="noConversion"/>
  </si>
  <si>
    <r>
      <t>2019</t>
    </r>
    <r>
      <rPr>
        <sz val="11"/>
        <color theme="1"/>
        <rFont val="맑은 고딕"/>
        <family val="2"/>
      </rPr>
      <t>년</t>
    </r>
    <r>
      <rPr>
        <sz val="11"/>
        <rFont val="Cali"/>
        <family val="2"/>
      </rPr>
      <t xml:space="preserve"> </t>
    </r>
    <r>
      <rPr>
        <sz val="11"/>
        <color theme="1"/>
        <rFont val="맑은 고딕"/>
        <family val="2"/>
      </rPr>
      <t>현충일</t>
    </r>
    <phoneticPr fontId="8" type="noConversion"/>
  </si>
  <si>
    <r>
      <t>2019</t>
    </r>
    <r>
      <rPr>
        <sz val="11"/>
        <color theme="1"/>
        <rFont val="맑은 고딕"/>
        <family val="2"/>
      </rPr>
      <t>년</t>
    </r>
    <r>
      <rPr>
        <sz val="11"/>
        <rFont val="Cali"/>
        <family val="2"/>
      </rPr>
      <t xml:space="preserve"> 6</t>
    </r>
    <r>
      <rPr>
        <sz val="11"/>
        <rFont val="Calibri"/>
        <family val="2"/>
      </rPr>
      <t>월주말</t>
    </r>
    <r>
      <rPr>
        <sz val="11"/>
        <color theme="1"/>
        <rFont val="맑은 고딕"/>
        <family val="2"/>
        <scheme val="minor"/>
      </rPr>
      <t/>
    </r>
  </si>
  <si>
    <r>
      <t>2019</t>
    </r>
    <r>
      <rPr>
        <sz val="11"/>
        <rFont val="돋움"/>
        <family val="3"/>
        <charset val="129"/>
      </rPr>
      <t>년</t>
    </r>
    <r>
      <rPr>
        <sz val="11"/>
        <rFont val="Cali"/>
        <family val="2"/>
      </rPr>
      <t xml:space="preserve"> 6</t>
    </r>
    <r>
      <rPr>
        <sz val="11"/>
        <rFont val="돋움"/>
        <family val="3"/>
        <charset val="129"/>
      </rPr>
      <t>월주말</t>
    </r>
    <phoneticPr fontId="2" type="noConversion"/>
  </si>
  <si>
    <t>프로젝트 기획</t>
  </si>
  <si>
    <t>화면 설계</t>
  </si>
  <si>
    <t>개발 환경 구축</t>
  </si>
  <si>
    <t>백 엔드</t>
  </si>
  <si>
    <t>엑셀</t>
    <phoneticPr fontId="8" type="noConversion"/>
  </si>
  <si>
    <t>c:\cad\cad\cad.exe</t>
    <phoneticPr fontId="8" type="noConversion"/>
  </si>
  <si>
    <t>txt</t>
    <phoneticPr fontId="8" type="noConversion"/>
  </si>
  <si>
    <t>E</t>
    <phoneticPr fontId="2" type="noConversion"/>
  </si>
  <si>
    <t>요구사항 정의</t>
  </si>
  <si>
    <t>시나리오 작성</t>
  </si>
  <si>
    <t>ERD설계</t>
  </si>
  <si>
    <t>화면정의서 작성</t>
  </si>
  <si>
    <t>프론트 엔드</t>
  </si>
  <si>
    <t>백 엔드-파이썬</t>
  </si>
  <si>
    <t>기능 구현</t>
  </si>
  <si>
    <t>산출물 작성 및 제출</t>
  </si>
  <si>
    <t>자막 싱크 교정</t>
  </si>
  <si>
    <t>reserved</t>
    <phoneticPr fontId="8" type="noConversion"/>
  </si>
  <si>
    <t>프레젠테이션</t>
  </si>
  <si>
    <t>담당</t>
  </si>
  <si>
    <t>PPT 작성</t>
  </si>
  <si>
    <t>스크립트 작성 및 발표 준비</t>
  </si>
  <si>
    <t>최종 발표</t>
  </si>
  <si>
    <t>3</t>
  </si>
  <si>
    <t>3.1</t>
  </si>
  <si>
    <t>3.1.1</t>
  </si>
  <si>
    <t>3.1.2</t>
  </si>
  <si>
    <t>3.2</t>
  </si>
  <si>
    <t>3.2.1</t>
  </si>
  <si>
    <t>3.2.2</t>
  </si>
  <si>
    <t>프로토 타입 발표</t>
  </si>
  <si>
    <t>아이디어 기획 및 조사</t>
  </si>
  <si>
    <t>백엔드</t>
  </si>
  <si>
    <t>DB구현</t>
  </si>
  <si>
    <t>API서버 구현</t>
  </si>
  <si>
    <t>테스트 및 안정화</t>
  </si>
  <si>
    <t>프로토 타입 테스트 및 안정화</t>
  </si>
  <si>
    <t>피드백 반영 및 안정화</t>
  </si>
  <si>
    <t>2.2.4</t>
  </si>
  <si>
    <t>2.3.1.3</t>
  </si>
  <si>
    <t>2.3.2.1.1</t>
  </si>
  <si>
    <t>2.3.2.1.2</t>
  </si>
  <si>
    <t>2.3.2.1.3</t>
  </si>
  <si>
    <t>2.3.2.2.1</t>
  </si>
  <si>
    <t>2.3.2.2.2</t>
  </si>
  <si>
    <t>2.3.2.2.3</t>
  </si>
  <si>
    <t>2.3.3</t>
  </si>
  <si>
    <t>2.3.3.1</t>
  </si>
  <si>
    <t>2.3.3.2</t>
  </si>
  <si>
    <t>실제_x000D_
시작일</t>
    <phoneticPr fontId="8" type="noConversion"/>
  </si>
  <si>
    <t>산출물</t>
    <phoneticPr fontId="8" type="noConversion"/>
  </si>
  <si>
    <t>SCHEDULE_SHEET_POSITION:3545121314151617181920212223242526272829</t>
    <phoneticPr fontId="2" type="noConversion"/>
  </si>
  <si>
    <t>프로젝트 결과 정리</t>
  </si>
  <si>
    <t>3.3</t>
  </si>
  <si>
    <t>이수재</t>
  </si>
  <si>
    <t>김소민, 김승연</t>
  </si>
  <si>
    <t>서버 설계</t>
  </si>
  <si>
    <t>최찬민, 조혜경</t>
  </si>
  <si>
    <t>김소민, 김승연, 최찬민, 조혜경</t>
  </si>
  <si>
    <t>2.2.5</t>
  </si>
  <si>
    <t>김소민</t>
  </si>
  <si>
    <t>김승연</t>
  </si>
  <si>
    <t>김승연, 이수재</t>
  </si>
  <si>
    <t>김소민, 이수재</t>
  </si>
  <si>
    <t>마이페이지</t>
  </si>
  <si>
    <t>기본 기능</t>
  </si>
  <si>
    <t>영상 관련 기능</t>
  </si>
  <si>
    <t>영상 편집 툴</t>
  </si>
  <si>
    <t>자막 상호작용 기능</t>
  </si>
  <si>
    <t>북마크 기능</t>
  </si>
  <si>
    <t>참여형 서비스 기능</t>
  </si>
  <si>
    <t>어학 관련 기능</t>
  </si>
  <si>
    <t>대사집 및 문법집</t>
  </si>
  <si>
    <t>공동 문법 기능</t>
  </si>
  <si>
    <t>성취도 및 성적</t>
  </si>
  <si>
    <t>히스토리 및 구독</t>
  </si>
  <si>
    <t>2.3.2.1.1.1</t>
  </si>
  <si>
    <t>2.3.2.1.1.2</t>
  </si>
  <si>
    <t>2.3.2.1.2.1</t>
  </si>
  <si>
    <t>2.3.2.1.2.2</t>
  </si>
  <si>
    <t>2.3.2.1.2.3</t>
  </si>
  <si>
    <t>2.3.2.1.2.4</t>
  </si>
  <si>
    <t>2.3.2.1.2.5</t>
  </si>
  <si>
    <t>2.3.2.1.3.1</t>
  </si>
  <si>
    <t>2.3.2.1.3.2</t>
  </si>
  <si>
    <t>2.3.2.1.3.3</t>
  </si>
  <si>
    <t>2.3.2.1.3.4</t>
  </si>
  <si>
    <t>2.3.2.1.3.5</t>
  </si>
  <si>
    <t>2.3.2.1.3.6</t>
  </si>
  <si>
    <t>기본기능</t>
  </si>
  <si>
    <t>단어장 관리</t>
  </si>
  <si>
    <t>어휘 시험</t>
  </si>
  <si>
    <t>영상 목록 및 검색</t>
  </si>
  <si>
    <t>영상 편집 문법 검색 서비스 추가</t>
  </si>
  <si>
    <t>회원가입 및 로그인</t>
  </si>
  <si>
    <t>업로드 및 스트리밍</t>
  </si>
  <si>
    <t>영상 편집 기능</t>
  </si>
  <si>
    <t>참여형 서비스</t>
  </si>
  <si>
    <t>북마크 - 부가 서비스 연동</t>
  </si>
  <si>
    <t>2.3.2.1.1.3</t>
  </si>
  <si>
    <t>2.3.2.1.2.6</t>
  </si>
  <si>
    <t>2.3.2.1.2.7</t>
  </si>
  <si>
    <t>2.3.2.2.1.1</t>
  </si>
  <si>
    <t>2.3.2.2.1.2</t>
  </si>
  <si>
    <t>2.3.2.2.1.3</t>
  </si>
  <si>
    <t>2.3.2.2.1.4</t>
  </si>
  <si>
    <t>2.3.2.2.1.5</t>
  </si>
  <si>
    <t>2.3.2.2.2.1</t>
  </si>
  <si>
    <t>2.3.2.2.2.2</t>
  </si>
  <si>
    <t>2.3.2.2.2.3</t>
  </si>
  <si>
    <t>2.3.2.2.2.4</t>
  </si>
  <si>
    <t>2.3.2.2.2.5</t>
  </si>
  <si>
    <t>2.3.2.2.3.1</t>
  </si>
  <si>
    <t>2.3.2.2.3.2</t>
  </si>
  <si>
    <t>2.3.2.2.3.3</t>
  </si>
  <si>
    <t>2.3.2.2.3.4</t>
  </si>
  <si>
    <t>중간테스트 및 보완</t>
  </si>
  <si>
    <t>히스토리 및 구독 서비스</t>
  </si>
  <si>
    <t>음성 분석 및 대조</t>
  </si>
  <si>
    <t>2.3.3.3</t>
  </si>
  <si>
    <t>조원 전체</t>
  </si>
  <si>
    <t>이수재, 조혜경</t>
  </si>
  <si>
    <t>비고</t>
    <phoneticPr fontId="8" type="noConversion"/>
  </si>
  <si>
    <t>완료일*</t>
    <phoneticPr fontId="8" type="noConversion"/>
  </si>
  <si>
    <t>실제_x000D_
총작업량</t>
    <phoneticPr fontId="8" type="noConversion"/>
  </si>
  <si>
    <t>조혜경</t>
  </si>
  <si>
    <t>최찬민</t>
  </si>
  <si>
    <t>최찬민, 이수재</t>
  </si>
  <si>
    <t>김승연, 김소민</t>
  </si>
  <si>
    <t>2.3.2.2.3.5</t>
  </si>
  <si>
    <t>일 (월평균 근무일수)</t>
  </si>
  <si>
    <t>차트</t>
  </si>
  <si>
    <t>Workload(담당별)</t>
  </si>
  <si>
    <t>* 담당별 Workload를 보여줍니다.</t>
  </si>
  <si>
    <t>* "Workload(담당별)" 메뉴를 클릭해야 내용이 갱신됩니다.</t>
  </si>
  <si>
    <t>Workload_x000D_
(Man-Day)</t>
  </si>
  <si>
    <t>Workload_x000D_
(Man-Month)</t>
  </si>
  <si>
    <t>조혜경, 최찬민</t>
  </si>
  <si>
    <t xml:space="preserve">  주별보기, Zoom 100%</t>
    <phoneticPr fontId="8" type="noConversion"/>
  </si>
  <si>
    <t>Go語 프로젝트</t>
    <phoneticPr fontId="2" type="noConversion"/>
  </si>
  <si>
    <t>TODAY</t>
    <phoneticPr fontId="2" type="noConversion"/>
  </si>
  <si>
    <t>DEFINED</t>
    <phoneticPr fontId="8" type="noConversion"/>
  </si>
  <si>
    <t>파워포인트</t>
    <phoneticPr fontId="8" type="noConversion"/>
  </si>
  <si>
    <t>ppt*</t>
    <phoneticPr fontId="8" type="noConversion"/>
  </si>
  <si>
    <t>doc*</t>
    <phoneticPr fontId="8" type="noConversion"/>
  </si>
  <si>
    <t>xls*</t>
    <phoneticPr fontId="8" type="noConversion"/>
  </si>
  <si>
    <t>자동지정</t>
    <phoneticPr fontId="8" type="noConversion"/>
  </si>
  <si>
    <t>Auto CAD</t>
    <phoneticPr fontId="8" type="noConversion"/>
  </si>
  <si>
    <t>c:\ace\aaa.exe</t>
    <phoneticPr fontId="8" type="noConversion"/>
  </si>
  <si>
    <t>김승연, 최찬민</t>
  </si>
  <si>
    <r>
      <t xml:space="preserve">  XLGantt 2.1.0 </t>
    </r>
    <r>
      <rPr>
        <b/>
        <sz val="14"/>
        <color rgb="FFFF8800"/>
        <rFont val="돋움"/>
        <family val="3"/>
        <charset val="129"/>
      </rPr>
      <t>ⓒ</t>
    </r>
    <r>
      <rPr>
        <b/>
        <sz val="14"/>
        <color rgb="FFFF8800"/>
        <rFont val="Calibri"/>
        <family val="2"/>
      </rPr>
      <t>XLWorks</t>
    </r>
    <phoneticPr fontId="8" type="noConversion"/>
  </si>
  <si>
    <t>wbs_level</t>
    <phoneticPr fontId="8" type="noConversion"/>
  </si>
  <si>
    <t>WBS</t>
    <phoneticPr fontId="8" type="noConversion"/>
  </si>
  <si>
    <t>작업*</t>
    <phoneticPr fontId="8" type="noConversion"/>
  </si>
  <si>
    <t>총_x000D_
작업량</t>
    <phoneticPr fontId="8" type="noConversion"/>
  </si>
  <si>
    <t>총_x000D_
기간</t>
    <phoneticPr fontId="8" type="noConversion"/>
  </si>
  <si>
    <t>실제_x000D_
총기간</t>
    <phoneticPr fontId="8" type="noConversion"/>
  </si>
  <si>
    <t>담당</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</si>
</sst>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mm\/dd"/>
    <numFmt numFmtId="179" formatCode="0.0_);[Red]\(0.0\)"/>
    <numFmt numFmtId="180" formatCode="0.00_);[Red]\(0.00\)"/>
  </numFmts>
  <fonts count="51">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9"/>
      <name val="Calibri"/>
      <family val="2"/>
    </font>
    <font>
      <sz val="9"/>
      <name val="돋움"/>
      <family val="3"/>
      <charset val="129"/>
    </font>
    <font>
      <sz val="11"/>
      <name val="Cali"/>
    </font>
    <font>
      <sz val="11"/>
      <color theme="1"/>
      <name val="맑은 고딕"/>
      <family val="3"/>
      <charset val="129"/>
    </font>
    <font>
      <sz val="11"/>
      <name val="Cali"/>
      <family val="2"/>
    </font>
    <font>
      <sz val="11"/>
      <color theme="1"/>
      <name val="맑은 고딕"/>
      <family val="2"/>
    </font>
    <font>
      <sz val="11"/>
      <name val="Arial Narrow"/>
      <family val="2"/>
    </font>
  </fonts>
  <fills count="1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2"/>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73">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0" fontId="16" fillId="0" borderId="0" xfId="4" applyFont="1" applyBorder="1"/>
    <xf numFmtId="0" fontId="44" fillId="0" borderId="7" xfId="4" applyFont="1" applyFill="1" applyBorder="1" applyAlignment="1" applyProtection="1">
      <alignment horizontal="left" vertical="top"/>
      <protection locked="0"/>
    </xf>
    <xf numFmtId="14" fontId="46" fillId="8" borderId="19" xfId="0" applyNumberFormat="1" applyFont="1" applyFill="1" applyBorder="1" applyProtection="1">
      <protection locked="0"/>
    </xf>
    <xf numFmtId="14" fontId="48" fillId="8" borderId="19" xfId="0" applyNumberFormat="1" applyFont="1" applyFill="1" applyBorder="1" applyProtection="1">
      <protection locked="0"/>
    </xf>
    <xf numFmtId="0" fontId="12"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top"/>
      <protection locked="0"/>
    </xf>
    <xf numFmtId="0" fontId="45" fillId="0" borderId="7" xfId="4" applyNumberFormat="1" applyFont="1" applyFill="1" applyBorder="1" applyAlignment="1" applyProtection="1">
      <alignment horizontal="left" vertical="top"/>
      <protection locked="0"/>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14" fontId="11" fillId="10" borderId="2" xfId="4" applyNumberFormat="1"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xf numFmtId="0" fontId="16" fillId="0" borderId="12" xfId="4" applyFont="1" applyBorder="1"/>
    <xf numFmtId="0" fontId="16" fillId="7" borderId="3" xfId="4" applyFont="1" applyFill="1" applyBorder="1" applyAlignment="1">
      <alignment horizontal="left" wrapText="1"/>
    </xf>
    <xf numFmtId="14" fontId="16" fillId="0" borderId="15" xfId="4" applyNumberFormat="1" applyFont="1" applyBorder="1"/>
    <xf numFmtId="0" fontId="16" fillId="0" borderId="15" xfId="4" applyFont="1" applyBorder="1"/>
    <xf numFmtId="0" fontId="50" fillId="0" borderId="15" xfId="4" applyFont="1" applyBorder="1"/>
    <xf numFmtId="14" fontId="16" fillId="0" borderId="26" xfId="4" applyNumberFormat="1" applyFont="1" applyBorder="1"/>
    <xf numFmtId="0" fontId="16" fillId="0" borderId="26" xfId="4" applyFont="1" applyBorder="1"/>
    <xf numFmtId="0" fontId="50" fillId="0" borderId="26" xfId="4" applyFont="1" applyBorder="1"/>
    <xf numFmtId="0" fontId="16" fillId="7" borderId="2" xfId="4" applyFont="1" applyFill="1" applyBorder="1" applyAlignment="1">
      <alignment horizontal="left" wrapText="1"/>
    </xf>
    <xf numFmtId="2" fontId="16" fillId="0" borderId="0" xfId="4" applyNumberFormat="1" applyFont="1" applyBorder="1" applyAlignment="1">
      <alignment horizontal="right"/>
    </xf>
    <xf numFmtId="14" fontId="16" fillId="0" borderId="15" xfId="4" applyNumberFormat="1" applyFont="1" applyBorder="1" applyAlignment="1">
      <alignment horizontal="left"/>
    </xf>
    <xf numFmtId="2" fontId="16" fillId="0" borderId="15" xfId="4" applyNumberFormat="1" applyFont="1" applyBorder="1" applyAlignment="1">
      <alignment horizontal="right"/>
    </xf>
    <xf numFmtId="14" fontId="16" fillId="0" borderId="26" xfId="4" applyNumberFormat="1" applyFont="1" applyBorder="1" applyAlignment="1">
      <alignment horizontal="left"/>
    </xf>
    <xf numFmtId="2" fontId="16" fillId="0" borderId="26" xfId="4" applyNumberFormat="1" applyFont="1" applyBorder="1" applyAlignment="1">
      <alignment horizontal="right"/>
    </xf>
    <xf numFmtId="0" fontId="12" fillId="12" borderId="7" xfId="4" quotePrefix="1" applyFont="1" applyFill="1" applyBorder="1" applyAlignment="1" applyProtection="1">
      <alignment horizontal="right" vertical="top"/>
      <protection locked="0"/>
    </xf>
    <xf numFmtId="0" fontId="12" fillId="12" borderId="7" xfId="4" applyFont="1" applyFill="1" applyBorder="1" applyAlignment="1" applyProtection="1">
      <alignment horizontal="left" vertical="top"/>
      <protection locked="0"/>
    </xf>
    <xf numFmtId="14" fontId="12" fillId="12" borderId="7" xfId="4" applyNumberFormat="1" applyFont="1" applyFill="1" applyBorder="1" applyAlignment="1" applyProtection="1">
      <alignment horizontal="center" vertical="top"/>
      <protection locked="0"/>
    </xf>
    <xf numFmtId="0" fontId="12" fillId="12" borderId="7" xfId="4" applyNumberFormat="1" applyFont="1" applyFill="1" applyBorder="1" applyAlignment="1" applyProtection="1">
      <alignment horizontal="left" vertical="top"/>
      <protection locked="0"/>
    </xf>
    <xf numFmtId="176" fontId="12" fillId="12" borderId="7" xfId="4" applyNumberFormat="1" applyFont="1" applyFill="1" applyBorder="1" applyAlignment="1" applyProtection="1">
      <alignment horizontal="center" vertical="top"/>
      <protection locked="0"/>
    </xf>
    <xf numFmtId="0" fontId="12" fillId="12" borderId="7" xfId="4" applyNumberFormat="1" applyFont="1" applyFill="1" applyBorder="1" applyAlignment="1" applyProtection="1">
      <alignment horizontal="center" vertical="top"/>
      <protection locked="0"/>
    </xf>
    <xf numFmtId="177" fontId="12" fillId="12" borderId="7" xfId="4" applyNumberFormat="1" applyFont="1" applyFill="1" applyBorder="1" applyAlignment="1" applyProtection="1">
      <alignment horizontal="center" vertical="top"/>
      <protection locked="0"/>
    </xf>
    <xf numFmtId="1" fontId="12" fillId="12" borderId="7" xfId="4" applyNumberFormat="1" applyFont="1" applyFill="1" applyBorder="1" applyAlignment="1" applyProtection="1">
      <alignment horizontal="center" vertical="top"/>
      <protection locked="0"/>
    </xf>
    <xf numFmtId="179" fontId="12" fillId="12" borderId="7" xfId="4" applyNumberFormat="1" applyFont="1" applyFill="1" applyBorder="1" applyAlignment="1" applyProtection="1">
      <alignment horizontal="center" vertical="top"/>
      <protection locked="0"/>
    </xf>
    <xf numFmtId="14" fontId="12" fillId="12" borderId="7" xfId="4" applyNumberFormat="1" applyFont="1" applyFill="1" applyBorder="1" applyAlignment="1" applyProtection="1">
      <alignment horizontal="left" vertical="top"/>
      <protection locked="0"/>
    </xf>
    <xf numFmtId="10" fontId="12" fillId="12" borderId="7" xfId="6" applyNumberFormat="1" applyFont="1" applyFill="1" applyBorder="1" applyAlignment="1" applyProtection="1">
      <alignment horizontal="right" vertical="top" wrapText="1"/>
      <protection locked="0"/>
    </xf>
    <xf numFmtId="10" fontId="12" fillId="12" borderId="7" xfId="6" applyNumberFormat="1" applyFont="1" applyFill="1" applyBorder="1" applyAlignment="1" applyProtection="1">
      <alignment horizontal="right" vertical="top"/>
      <protection locked="0"/>
    </xf>
    <xf numFmtId="0" fontId="44" fillId="12" borderId="7" xfId="4" applyFont="1" applyFill="1" applyBorder="1" applyAlignment="1" applyProtection="1">
      <alignment horizontal="left" vertical="top"/>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11">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44</xdr:col>
      <xdr:colOff>0</xdr:colOff>
      <xdr:row>3</xdr:row>
      <xdr:rowOff>59690</xdr:rowOff>
    </xdr:from>
    <xdr:to>
      <xdr:col>44</xdr:col>
      <xdr:colOff>0</xdr:colOff>
      <xdr:row>86</xdr:row>
      <xdr:rowOff>0</xdr:rowOff>
    </xdr:to>
    <xdr:cxnSp macro="">
      <xdr:nvCxnSpPr>
        <xdr:cNvPr id="29217" name="직선 화살표 연결선 29216"/>
        <xdr:cNvCxnSpPr/>
      </xdr:nvCxnSpPr>
      <xdr:spPr>
        <a:xfrm>
          <a:off x="20772120" y="753110"/>
          <a:ext cx="0" cy="124980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3</xdr:row>
      <xdr:rowOff>59690</xdr:rowOff>
    </xdr:from>
    <xdr:to>
      <xdr:col>31</xdr:col>
      <xdr:colOff>0</xdr:colOff>
      <xdr:row>86</xdr:row>
      <xdr:rowOff>0</xdr:rowOff>
    </xdr:to>
    <xdr:cxnSp macro="">
      <xdr:nvCxnSpPr>
        <xdr:cNvPr id="29218" name="직선 화살표 연결선 29217"/>
        <xdr:cNvCxnSpPr/>
      </xdr:nvCxnSpPr>
      <xdr:spPr>
        <a:xfrm>
          <a:off x="9014460" y="753110"/>
          <a:ext cx="0" cy="124980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82731</xdr:colOff>
      <xdr:row>85</xdr:row>
      <xdr:rowOff>19050</xdr:rowOff>
    </xdr:from>
    <xdr:to>
      <xdr:col>44</xdr:col>
      <xdr:colOff>124097</xdr:colOff>
      <xdr:row>85</xdr:row>
      <xdr:rowOff>133350</xdr:rowOff>
    </xdr:to>
    <xdr:sp macro="" textlink="">
      <xdr:nvSpPr>
        <xdr:cNvPr id="31289" name="직사각형 31288"/>
        <xdr:cNvSpPr/>
      </xdr:nvSpPr>
      <xdr:spPr>
        <a:xfrm>
          <a:off x="10979331" y="13117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82731</xdr:colOff>
      <xdr:row>85</xdr:row>
      <xdr:rowOff>76200</xdr:rowOff>
    </xdr:from>
    <xdr:to>
      <xdr:col>44</xdr:col>
      <xdr:colOff>82731</xdr:colOff>
      <xdr:row>85</xdr:row>
      <xdr:rowOff>76200</xdr:rowOff>
    </xdr:to>
    <xdr:cxnSp macro="">
      <xdr:nvCxnSpPr>
        <xdr:cNvPr id="31290" name="직선 화살표 연결선 31289"/>
        <xdr:cNvCxnSpPr/>
      </xdr:nvCxnSpPr>
      <xdr:spPr>
        <a:xfrm>
          <a:off x="10979331" y="1317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20683</xdr:colOff>
      <xdr:row>83</xdr:row>
      <xdr:rowOff>19050</xdr:rowOff>
    </xdr:from>
    <xdr:to>
      <xdr:col>44</xdr:col>
      <xdr:colOff>41366</xdr:colOff>
      <xdr:row>83</xdr:row>
      <xdr:rowOff>133350</xdr:rowOff>
    </xdr:to>
    <xdr:sp macro="" textlink="">
      <xdr:nvSpPr>
        <xdr:cNvPr id="31291" name="직사각형 31290"/>
        <xdr:cNvSpPr/>
      </xdr:nvSpPr>
      <xdr:spPr>
        <a:xfrm>
          <a:off x="10772503" y="128130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20683</xdr:colOff>
      <xdr:row>83</xdr:row>
      <xdr:rowOff>76200</xdr:rowOff>
    </xdr:from>
    <xdr:to>
      <xdr:col>43</xdr:col>
      <xdr:colOff>20683</xdr:colOff>
      <xdr:row>83</xdr:row>
      <xdr:rowOff>76200</xdr:rowOff>
    </xdr:to>
    <xdr:cxnSp macro="">
      <xdr:nvCxnSpPr>
        <xdr:cNvPr id="31292" name="직선 화살표 연결선 31291"/>
        <xdr:cNvCxnSpPr/>
      </xdr:nvCxnSpPr>
      <xdr:spPr>
        <a:xfrm>
          <a:off x="10772503" y="1287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103414</xdr:colOff>
      <xdr:row>82</xdr:row>
      <xdr:rowOff>19050</xdr:rowOff>
    </xdr:from>
    <xdr:to>
      <xdr:col>43</xdr:col>
      <xdr:colOff>41365</xdr:colOff>
      <xdr:row>82</xdr:row>
      <xdr:rowOff>133350</xdr:rowOff>
    </xdr:to>
    <xdr:sp macro="" textlink="">
      <xdr:nvSpPr>
        <xdr:cNvPr id="31293" name="직사각형 31292"/>
        <xdr:cNvSpPr/>
      </xdr:nvSpPr>
      <xdr:spPr>
        <a:xfrm>
          <a:off x="10565674" y="12660630"/>
          <a:ext cx="227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103414</xdr:colOff>
      <xdr:row>82</xdr:row>
      <xdr:rowOff>76200</xdr:rowOff>
    </xdr:from>
    <xdr:to>
      <xdr:col>41</xdr:col>
      <xdr:colOff>103414</xdr:colOff>
      <xdr:row>82</xdr:row>
      <xdr:rowOff>76200</xdr:rowOff>
    </xdr:to>
    <xdr:cxnSp macro="">
      <xdr:nvCxnSpPr>
        <xdr:cNvPr id="31294" name="직선 화살표 연결선 31293"/>
        <xdr:cNvCxnSpPr/>
      </xdr:nvCxnSpPr>
      <xdr:spPr>
        <a:xfrm>
          <a:off x="10565674" y="1271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103414</xdr:colOff>
      <xdr:row>81</xdr:row>
      <xdr:rowOff>19050</xdr:rowOff>
    </xdr:from>
    <xdr:to>
      <xdr:col>44</xdr:col>
      <xdr:colOff>41366</xdr:colOff>
      <xdr:row>81</xdr:row>
      <xdr:rowOff>133350</xdr:rowOff>
    </xdr:to>
    <xdr:sp macro="" textlink="">
      <xdr:nvSpPr>
        <xdr:cNvPr id="31295" name="직사각형 31294"/>
        <xdr:cNvSpPr/>
      </xdr:nvSpPr>
      <xdr:spPr>
        <a:xfrm>
          <a:off x="10565674" y="12508230"/>
          <a:ext cx="372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103414</xdr:colOff>
      <xdr:row>81</xdr:row>
      <xdr:rowOff>76200</xdr:rowOff>
    </xdr:from>
    <xdr:to>
      <xdr:col>41</xdr:col>
      <xdr:colOff>103414</xdr:colOff>
      <xdr:row>81</xdr:row>
      <xdr:rowOff>76200</xdr:rowOff>
    </xdr:to>
    <xdr:cxnSp macro="">
      <xdr:nvCxnSpPr>
        <xdr:cNvPr id="31296" name="직선 화살표 연결선 31295"/>
        <xdr:cNvCxnSpPr/>
      </xdr:nvCxnSpPr>
      <xdr:spPr>
        <a:xfrm>
          <a:off x="10565674" y="1256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41365</xdr:colOff>
      <xdr:row>79</xdr:row>
      <xdr:rowOff>19050</xdr:rowOff>
    </xdr:from>
    <xdr:to>
      <xdr:col>39</xdr:col>
      <xdr:colOff>41366</xdr:colOff>
      <xdr:row>79</xdr:row>
      <xdr:rowOff>133350</xdr:rowOff>
    </xdr:to>
    <xdr:sp macro="" textlink="">
      <xdr:nvSpPr>
        <xdr:cNvPr id="31297" name="직사각형 31296"/>
        <xdr:cNvSpPr/>
      </xdr:nvSpPr>
      <xdr:spPr>
        <a:xfrm>
          <a:off x="10069285" y="12203430"/>
          <a:ext cx="1447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41365</xdr:colOff>
      <xdr:row>79</xdr:row>
      <xdr:rowOff>76200</xdr:rowOff>
    </xdr:from>
    <xdr:to>
      <xdr:col>38</xdr:col>
      <xdr:colOff>41365</xdr:colOff>
      <xdr:row>79</xdr:row>
      <xdr:rowOff>76200</xdr:rowOff>
    </xdr:to>
    <xdr:cxnSp macro="">
      <xdr:nvCxnSpPr>
        <xdr:cNvPr id="31298" name="직선 화살표 연결선 31297"/>
        <xdr:cNvCxnSpPr/>
      </xdr:nvCxnSpPr>
      <xdr:spPr>
        <a:xfrm>
          <a:off x="10069285" y="1226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78</xdr:row>
      <xdr:rowOff>19050</xdr:rowOff>
    </xdr:from>
    <xdr:to>
      <xdr:col>38</xdr:col>
      <xdr:colOff>62049</xdr:colOff>
      <xdr:row>78</xdr:row>
      <xdr:rowOff>133350</xdr:rowOff>
    </xdr:to>
    <xdr:sp macro="" textlink="">
      <xdr:nvSpPr>
        <xdr:cNvPr id="31299" name="직사각형 31298"/>
        <xdr:cNvSpPr/>
      </xdr:nvSpPr>
      <xdr:spPr>
        <a:xfrm>
          <a:off x="9841774" y="12051030"/>
          <a:ext cx="248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78</xdr:row>
      <xdr:rowOff>76200</xdr:rowOff>
    </xdr:from>
    <xdr:to>
      <xdr:col>36</xdr:col>
      <xdr:colOff>103414</xdr:colOff>
      <xdr:row>78</xdr:row>
      <xdr:rowOff>76200</xdr:rowOff>
    </xdr:to>
    <xdr:cxnSp macro="">
      <xdr:nvCxnSpPr>
        <xdr:cNvPr id="31300" name="직선 화살표 연결선 31299"/>
        <xdr:cNvCxnSpPr/>
      </xdr:nvCxnSpPr>
      <xdr:spPr>
        <a:xfrm>
          <a:off x="9841774" y="1210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77</xdr:row>
      <xdr:rowOff>19050</xdr:rowOff>
    </xdr:from>
    <xdr:to>
      <xdr:col>39</xdr:col>
      <xdr:colOff>41366</xdr:colOff>
      <xdr:row>77</xdr:row>
      <xdr:rowOff>133350</xdr:rowOff>
    </xdr:to>
    <xdr:sp macro="" textlink="">
      <xdr:nvSpPr>
        <xdr:cNvPr id="31301" name="직사각형 31300"/>
        <xdr:cNvSpPr/>
      </xdr:nvSpPr>
      <xdr:spPr>
        <a:xfrm>
          <a:off x="9841774" y="11898630"/>
          <a:ext cx="372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77</xdr:row>
      <xdr:rowOff>76200</xdr:rowOff>
    </xdr:from>
    <xdr:to>
      <xdr:col>36</xdr:col>
      <xdr:colOff>103414</xdr:colOff>
      <xdr:row>77</xdr:row>
      <xdr:rowOff>76200</xdr:rowOff>
    </xdr:to>
    <xdr:cxnSp macro="">
      <xdr:nvCxnSpPr>
        <xdr:cNvPr id="31302" name="직선 화살표 연결선 31301"/>
        <xdr:cNvCxnSpPr/>
      </xdr:nvCxnSpPr>
      <xdr:spPr>
        <a:xfrm>
          <a:off x="9841774" y="1195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76</xdr:row>
      <xdr:rowOff>19050</xdr:rowOff>
    </xdr:from>
    <xdr:to>
      <xdr:col>44</xdr:col>
      <xdr:colOff>124097</xdr:colOff>
      <xdr:row>76</xdr:row>
      <xdr:rowOff>133350</xdr:rowOff>
    </xdr:to>
    <xdr:sp macro="" textlink="">
      <xdr:nvSpPr>
        <xdr:cNvPr id="31303" name="직사각형 31302"/>
        <xdr:cNvSpPr/>
      </xdr:nvSpPr>
      <xdr:spPr>
        <a:xfrm>
          <a:off x="9841774" y="11746230"/>
          <a:ext cx="11789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76</xdr:row>
      <xdr:rowOff>76200</xdr:rowOff>
    </xdr:from>
    <xdr:to>
      <xdr:col>36</xdr:col>
      <xdr:colOff>103414</xdr:colOff>
      <xdr:row>76</xdr:row>
      <xdr:rowOff>76200</xdr:rowOff>
    </xdr:to>
    <xdr:cxnSp macro="">
      <xdr:nvCxnSpPr>
        <xdr:cNvPr id="31304" name="직선 화살표 연결선 31303"/>
        <xdr:cNvCxnSpPr/>
      </xdr:nvCxnSpPr>
      <xdr:spPr>
        <a:xfrm>
          <a:off x="9841774" y="1180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82731</xdr:colOff>
      <xdr:row>74</xdr:row>
      <xdr:rowOff>19050</xdr:rowOff>
    </xdr:from>
    <xdr:to>
      <xdr:col>42</xdr:col>
      <xdr:colOff>124097</xdr:colOff>
      <xdr:row>74</xdr:row>
      <xdr:rowOff>133350</xdr:rowOff>
    </xdr:to>
    <xdr:sp macro="" textlink="">
      <xdr:nvSpPr>
        <xdr:cNvPr id="31305" name="직사각형 31304"/>
        <xdr:cNvSpPr/>
      </xdr:nvSpPr>
      <xdr:spPr>
        <a:xfrm>
          <a:off x="10255431" y="11441430"/>
          <a:ext cx="4757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82731</xdr:colOff>
      <xdr:row>74</xdr:row>
      <xdr:rowOff>76200</xdr:rowOff>
    </xdr:from>
    <xdr:to>
      <xdr:col>39</xdr:col>
      <xdr:colOff>82731</xdr:colOff>
      <xdr:row>74</xdr:row>
      <xdr:rowOff>76200</xdr:rowOff>
    </xdr:to>
    <xdr:cxnSp macro="">
      <xdr:nvCxnSpPr>
        <xdr:cNvPr id="31306" name="직선 화살표 연결선 31305"/>
        <xdr:cNvCxnSpPr/>
      </xdr:nvCxnSpPr>
      <xdr:spPr>
        <a:xfrm>
          <a:off x="10255431" y="1149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73</xdr:row>
      <xdr:rowOff>19050</xdr:rowOff>
    </xdr:from>
    <xdr:to>
      <xdr:col>36</xdr:col>
      <xdr:colOff>82731</xdr:colOff>
      <xdr:row>73</xdr:row>
      <xdr:rowOff>133350</xdr:rowOff>
    </xdr:to>
    <xdr:sp macro="" textlink="">
      <xdr:nvSpPr>
        <xdr:cNvPr id="31307" name="직사각형 31306"/>
        <xdr:cNvSpPr/>
      </xdr:nvSpPr>
      <xdr:spPr>
        <a:xfrm>
          <a:off x="9510849" y="11289030"/>
          <a:ext cx="31024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73</xdr:row>
      <xdr:rowOff>76200</xdr:rowOff>
    </xdr:from>
    <xdr:to>
      <xdr:col>34</xdr:col>
      <xdr:colOff>62049</xdr:colOff>
      <xdr:row>73</xdr:row>
      <xdr:rowOff>76200</xdr:rowOff>
    </xdr:to>
    <xdr:cxnSp macro="">
      <xdr:nvCxnSpPr>
        <xdr:cNvPr id="31308" name="직선 화살표 연결선 31307"/>
        <xdr:cNvCxnSpPr/>
      </xdr:nvCxnSpPr>
      <xdr:spPr>
        <a:xfrm>
          <a:off x="9510849" y="1134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72</xdr:row>
      <xdr:rowOff>19050</xdr:rowOff>
    </xdr:from>
    <xdr:to>
      <xdr:col>33</xdr:col>
      <xdr:colOff>62049</xdr:colOff>
      <xdr:row>72</xdr:row>
      <xdr:rowOff>133350</xdr:rowOff>
    </xdr:to>
    <xdr:sp macro="" textlink="">
      <xdr:nvSpPr>
        <xdr:cNvPr id="31309" name="직사각형 31308"/>
        <xdr:cNvSpPr/>
      </xdr:nvSpPr>
      <xdr:spPr>
        <a:xfrm>
          <a:off x="9241972" y="111366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72</xdr:row>
      <xdr:rowOff>76200</xdr:rowOff>
    </xdr:from>
    <xdr:to>
      <xdr:col>32</xdr:col>
      <xdr:colOff>82732</xdr:colOff>
      <xdr:row>72</xdr:row>
      <xdr:rowOff>76200</xdr:rowOff>
    </xdr:to>
    <xdr:cxnSp macro="">
      <xdr:nvCxnSpPr>
        <xdr:cNvPr id="31310" name="직선 화살표 연결선 31309"/>
        <xdr:cNvCxnSpPr/>
      </xdr:nvCxnSpPr>
      <xdr:spPr>
        <a:xfrm>
          <a:off x="9241972" y="1119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71</xdr:row>
      <xdr:rowOff>19050</xdr:rowOff>
    </xdr:from>
    <xdr:to>
      <xdr:col>42</xdr:col>
      <xdr:colOff>124097</xdr:colOff>
      <xdr:row>71</xdr:row>
      <xdr:rowOff>133350</xdr:rowOff>
    </xdr:to>
    <xdr:sp macro="" textlink="">
      <xdr:nvSpPr>
        <xdr:cNvPr id="31311" name="직사각형 31310"/>
        <xdr:cNvSpPr/>
      </xdr:nvSpPr>
      <xdr:spPr>
        <a:xfrm>
          <a:off x="9241972" y="10984230"/>
          <a:ext cx="14891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71</xdr:row>
      <xdr:rowOff>76200</xdr:rowOff>
    </xdr:from>
    <xdr:to>
      <xdr:col>32</xdr:col>
      <xdr:colOff>82732</xdr:colOff>
      <xdr:row>71</xdr:row>
      <xdr:rowOff>76200</xdr:rowOff>
    </xdr:to>
    <xdr:cxnSp macro="">
      <xdr:nvCxnSpPr>
        <xdr:cNvPr id="31312" name="직선 화살표 연결선 31311"/>
        <xdr:cNvCxnSpPr/>
      </xdr:nvCxnSpPr>
      <xdr:spPr>
        <a:xfrm>
          <a:off x="9241972" y="1104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69</xdr:row>
      <xdr:rowOff>19050</xdr:rowOff>
    </xdr:from>
    <xdr:to>
      <xdr:col>34</xdr:col>
      <xdr:colOff>82731</xdr:colOff>
      <xdr:row>69</xdr:row>
      <xdr:rowOff>133350</xdr:rowOff>
    </xdr:to>
    <xdr:sp macro="" textlink="">
      <xdr:nvSpPr>
        <xdr:cNvPr id="31313" name="직사각형 31312"/>
        <xdr:cNvSpPr/>
      </xdr:nvSpPr>
      <xdr:spPr>
        <a:xfrm>
          <a:off x="9490166" y="106794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69</xdr:row>
      <xdr:rowOff>76200</xdr:rowOff>
    </xdr:from>
    <xdr:to>
      <xdr:col>34</xdr:col>
      <xdr:colOff>41366</xdr:colOff>
      <xdr:row>69</xdr:row>
      <xdr:rowOff>76200</xdr:rowOff>
    </xdr:to>
    <xdr:cxnSp macro="">
      <xdr:nvCxnSpPr>
        <xdr:cNvPr id="31314" name="직선 화살표 연결선 31313"/>
        <xdr:cNvCxnSpPr/>
      </xdr:nvCxnSpPr>
      <xdr:spPr>
        <a:xfrm>
          <a:off x="9490166" y="1073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68</xdr:row>
      <xdr:rowOff>19050</xdr:rowOff>
    </xdr:from>
    <xdr:to>
      <xdr:col>34</xdr:col>
      <xdr:colOff>41366</xdr:colOff>
      <xdr:row>68</xdr:row>
      <xdr:rowOff>133350</xdr:rowOff>
    </xdr:to>
    <xdr:sp macro="" textlink="">
      <xdr:nvSpPr>
        <xdr:cNvPr id="31315" name="직사각형 31314"/>
        <xdr:cNvSpPr/>
      </xdr:nvSpPr>
      <xdr:spPr>
        <a:xfrm>
          <a:off x="9407434" y="105270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68</xdr:row>
      <xdr:rowOff>76200</xdr:rowOff>
    </xdr:from>
    <xdr:to>
      <xdr:col>33</xdr:col>
      <xdr:colOff>103414</xdr:colOff>
      <xdr:row>68</xdr:row>
      <xdr:rowOff>76200</xdr:rowOff>
    </xdr:to>
    <xdr:cxnSp macro="">
      <xdr:nvCxnSpPr>
        <xdr:cNvPr id="31316" name="직선 화살표 연결선 31315"/>
        <xdr:cNvCxnSpPr/>
      </xdr:nvCxnSpPr>
      <xdr:spPr>
        <a:xfrm>
          <a:off x="9407434" y="1058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67</xdr:row>
      <xdr:rowOff>19050</xdr:rowOff>
    </xdr:from>
    <xdr:to>
      <xdr:col>33</xdr:col>
      <xdr:colOff>124097</xdr:colOff>
      <xdr:row>67</xdr:row>
      <xdr:rowOff>133350</xdr:rowOff>
    </xdr:to>
    <xdr:sp macro="" textlink="">
      <xdr:nvSpPr>
        <xdr:cNvPr id="31317" name="직사각형 31316"/>
        <xdr:cNvSpPr/>
      </xdr:nvSpPr>
      <xdr:spPr>
        <a:xfrm>
          <a:off x="9366069" y="10374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67</xdr:row>
      <xdr:rowOff>76200</xdr:rowOff>
    </xdr:from>
    <xdr:to>
      <xdr:col>33</xdr:col>
      <xdr:colOff>62049</xdr:colOff>
      <xdr:row>67</xdr:row>
      <xdr:rowOff>76200</xdr:rowOff>
    </xdr:to>
    <xdr:cxnSp macro="">
      <xdr:nvCxnSpPr>
        <xdr:cNvPr id="31318" name="직선 화살표 연결선 31317"/>
        <xdr:cNvCxnSpPr/>
      </xdr:nvCxnSpPr>
      <xdr:spPr>
        <a:xfrm>
          <a:off x="9366069"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66</xdr:row>
      <xdr:rowOff>19050</xdr:rowOff>
    </xdr:from>
    <xdr:to>
      <xdr:col>32</xdr:col>
      <xdr:colOff>124097</xdr:colOff>
      <xdr:row>66</xdr:row>
      <xdr:rowOff>133350</xdr:rowOff>
    </xdr:to>
    <xdr:sp macro="" textlink="">
      <xdr:nvSpPr>
        <xdr:cNvPr id="31319" name="직사각형 31318"/>
        <xdr:cNvSpPr/>
      </xdr:nvSpPr>
      <xdr:spPr>
        <a:xfrm>
          <a:off x="9200606" y="102222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66</xdr:row>
      <xdr:rowOff>76200</xdr:rowOff>
    </xdr:from>
    <xdr:to>
      <xdr:col>32</xdr:col>
      <xdr:colOff>41366</xdr:colOff>
      <xdr:row>66</xdr:row>
      <xdr:rowOff>76200</xdr:rowOff>
    </xdr:to>
    <xdr:cxnSp macro="">
      <xdr:nvCxnSpPr>
        <xdr:cNvPr id="31320" name="직선 화살표 연결선 31319"/>
        <xdr:cNvCxnSpPr/>
      </xdr:nvCxnSpPr>
      <xdr:spPr>
        <a:xfrm>
          <a:off x="9200606"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65</xdr:row>
      <xdr:rowOff>19050</xdr:rowOff>
    </xdr:from>
    <xdr:to>
      <xdr:col>33</xdr:col>
      <xdr:colOff>82731</xdr:colOff>
      <xdr:row>65</xdr:row>
      <xdr:rowOff>133350</xdr:rowOff>
    </xdr:to>
    <xdr:sp macro="" textlink="">
      <xdr:nvSpPr>
        <xdr:cNvPr id="31321" name="직사각형 31320"/>
        <xdr:cNvSpPr/>
      </xdr:nvSpPr>
      <xdr:spPr>
        <a:xfrm>
          <a:off x="9324703" y="10069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65</xdr:row>
      <xdr:rowOff>76200</xdr:rowOff>
    </xdr:from>
    <xdr:to>
      <xdr:col>33</xdr:col>
      <xdr:colOff>20683</xdr:colOff>
      <xdr:row>65</xdr:row>
      <xdr:rowOff>76200</xdr:rowOff>
    </xdr:to>
    <xdr:cxnSp macro="">
      <xdr:nvCxnSpPr>
        <xdr:cNvPr id="31322" name="직선 화살표 연결선 31321"/>
        <xdr:cNvCxnSpPr/>
      </xdr:nvCxnSpPr>
      <xdr:spPr>
        <a:xfrm>
          <a:off x="9324703" y="1012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64</xdr:row>
      <xdr:rowOff>19050</xdr:rowOff>
    </xdr:from>
    <xdr:to>
      <xdr:col>34</xdr:col>
      <xdr:colOff>82731</xdr:colOff>
      <xdr:row>64</xdr:row>
      <xdr:rowOff>133350</xdr:rowOff>
    </xdr:to>
    <xdr:sp macro="" textlink="">
      <xdr:nvSpPr>
        <xdr:cNvPr id="31323" name="직사각형 31322"/>
        <xdr:cNvSpPr/>
      </xdr:nvSpPr>
      <xdr:spPr>
        <a:xfrm>
          <a:off x="9200606" y="9917430"/>
          <a:ext cx="3309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64</xdr:row>
      <xdr:rowOff>76200</xdr:rowOff>
    </xdr:from>
    <xdr:to>
      <xdr:col>32</xdr:col>
      <xdr:colOff>41366</xdr:colOff>
      <xdr:row>64</xdr:row>
      <xdr:rowOff>76200</xdr:rowOff>
    </xdr:to>
    <xdr:cxnSp macro="">
      <xdr:nvCxnSpPr>
        <xdr:cNvPr id="31324" name="직선 화살표 연결선 31323"/>
        <xdr:cNvCxnSpPr/>
      </xdr:nvCxnSpPr>
      <xdr:spPr>
        <a:xfrm>
          <a:off x="9200606" y="997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62</xdr:row>
      <xdr:rowOff>19050</xdr:rowOff>
    </xdr:from>
    <xdr:to>
      <xdr:col>33</xdr:col>
      <xdr:colOff>124097</xdr:colOff>
      <xdr:row>62</xdr:row>
      <xdr:rowOff>133350</xdr:rowOff>
    </xdr:to>
    <xdr:sp macro="" textlink="">
      <xdr:nvSpPr>
        <xdr:cNvPr id="31325" name="직사각형 31324"/>
        <xdr:cNvSpPr/>
      </xdr:nvSpPr>
      <xdr:spPr>
        <a:xfrm>
          <a:off x="8890363" y="9612630"/>
          <a:ext cx="5377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62</xdr:row>
      <xdr:rowOff>76200</xdr:rowOff>
    </xdr:from>
    <xdr:to>
      <xdr:col>31</xdr:col>
      <xdr:colOff>91004</xdr:colOff>
      <xdr:row>62</xdr:row>
      <xdr:rowOff>76200</xdr:rowOff>
    </xdr:to>
    <xdr:cxnSp macro="">
      <xdr:nvCxnSpPr>
        <xdr:cNvPr id="31326" name="직선 화살표 연결선 31325"/>
        <xdr:cNvCxnSpPr/>
      </xdr:nvCxnSpPr>
      <xdr:spPr>
        <a:xfrm>
          <a:off x="8890363" y="9669780"/>
          <a:ext cx="21510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61</xdr:row>
      <xdr:rowOff>19050</xdr:rowOff>
    </xdr:from>
    <xdr:to>
      <xdr:col>33</xdr:col>
      <xdr:colOff>41365</xdr:colOff>
      <xdr:row>61</xdr:row>
      <xdr:rowOff>133350</xdr:rowOff>
    </xdr:to>
    <xdr:sp macro="" textlink="">
      <xdr:nvSpPr>
        <xdr:cNvPr id="31327" name="직사각형 31326"/>
        <xdr:cNvSpPr/>
      </xdr:nvSpPr>
      <xdr:spPr>
        <a:xfrm>
          <a:off x="9241972" y="9460230"/>
          <a:ext cx="1034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61</xdr:row>
      <xdr:rowOff>76200</xdr:rowOff>
    </xdr:from>
    <xdr:to>
      <xdr:col>32</xdr:col>
      <xdr:colOff>82732</xdr:colOff>
      <xdr:row>61</xdr:row>
      <xdr:rowOff>76200</xdr:rowOff>
    </xdr:to>
    <xdr:cxnSp macro="">
      <xdr:nvCxnSpPr>
        <xdr:cNvPr id="31328" name="직선 화살표 연결선 31327"/>
        <xdr:cNvCxnSpPr/>
      </xdr:nvCxnSpPr>
      <xdr:spPr>
        <a:xfrm>
          <a:off x="9241972" y="951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60</xdr:row>
      <xdr:rowOff>19050</xdr:rowOff>
    </xdr:from>
    <xdr:to>
      <xdr:col>32</xdr:col>
      <xdr:colOff>103414</xdr:colOff>
      <xdr:row>60</xdr:row>
      <xdr:rowOff>133350</xdr:rowOff>
    </xdr:to>
    <xdr:sp macro="" textlink="">
      <xdr:nvSpPr>
        <xdr:cNvPr id="31329" name="직사각형 31328"/>
        <xdr:cNvSpPr/>
      </xdr:nvSpPr>
      <xdr:spPr>
        <a:xfrm>
          <a:off x="9117874" y="93078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60</xdr:row>
      <xdr:rowOff>76200</xdr:rowOff>
    </xdr:from>
    <xdr:to>
      <xdr:col>31</xdr:col>
      <xdr:colOff>103414</xdr:colOff>
      <xdr:row>60</xdr:row>
      <xdr:rowOff>76200</xdr:rowOff>
    </xdr:to>
    <xdr:cxnSp macro="">
      <xdr:nvCxnSpPr>
        <xdr:cNvPr id="31330" name="직선 화살표 연결선 31329"/>
        <xdr:cNvCxnSpPr/>
      </xdr:nvCxnSpPr>
      <xdr:spPr>
        <a:xfrm>
          <a:off x="9117874" y="936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59</xdr:row>
      <xdr:rowOff>19050</xdr:rowOff>
    </xdr:from>
    <xdr:to>
      <xdr:col>31</xdr:col>
      <xdr:colOff>124097</xdr:colOff>
      <xdr:row>59</xdr:row>
      <xdr:rowOff>133350</xdr:rowOff>
    </xdr:to>
    <xdr:sp macro="" textlink="">
      <xdr:nvSpPr>
        <xdr:cNvPr id="31331" name="직사각형 31330"/>
        <xdr:cNvSpPr/>
      </xdr:nvSpPr>
      <xdr:spPr>
        <a:xfrm>
          <a:off x="9076509" y="9155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59</xdr:row>
      <xdr:rowOff>76200</xdr:rowOff>
    </xdr:from>
    <xdr:to>
      <xdr:col>31</xdr:col>
      <xdr:colOff>62049</xdr:colOff>
      <xdr:row>59</xdr:row>
      <xdr:rowOff>76200</xdr:rowOff>
    </xdr:to>
    <xdr:cxnSp macro="">
      <xdr:nvCxnSpPr>
        <xdr:cNvPr id="31332" name="직선 화살표 연결선 31331"/>
        <xdr:cNvCxnSpPr/>
      </xdr:nvCxnSpPr>
      <xdr:spPr>
        <a:xfrm>
          <a:off x="9076509" y="921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58</xdr:row>
      <xdr:rowOff>19050</xdr:rowOff>
    </xdr:from>
    <xdr:to>
      <xdr:col>31</xdr:col>
      <xdr:colOff>82731</xdr:colOff>
      <xdr:row>58</xdr:row>
      <xdr:rowOff>133350</xdr:rowOff>
    </xdr:to>
    <xdr:sp macro="" textlink="">
      <xdr:nvSpPr>
        <xdr:cNvPr id="31333" name="직사각형 31332"/>
        <xdr:cNvSpPr/>
      </xdr:nvSpPr>
      <xdr:spPr>
        <a:xfrm>
          <a:off x="9035143" y="9003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58</xdr:row>
      <xdr:rowOff>76200</xdr:rowOff>
    </xdr:from>
    <xdr:to>
      <xdr:col>31</xdr:col>
      <xdr:colOff>20683</xdr:colOff>
      <xdr:row>58</xdr:row>
      <xdr:rowOff>76200</xdr:rowOff>
    </xdr:to>
    <xdr:cxnSp macro="">
      <xdr:nvCxnSpPr>
        <xdr:cNvPr id="31334" name="직선 화살표 연결선 31333"/>
        <xdr:cNvCxnSpPr/>
      </xdr:nvCxnSpPr>
      <xdr:spPr>
        <a:xfrm>
          <a:off x="9035143" y="906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57</xdr:row>
      <xdr:rowOff>19050</xdr:rowOff>
    </xdr:from>
    <xdr:to>
      <xdr:col>33</xdr:col>
      <xdr:colOff>124097</xdr:colOff>
      <xdr:row>57</xdr:row>
      <xdr:rowOff>133350</xdr:rowOff>
    </xdr:to>
    <xdr:sp macro="" textlink="">
      <xdr:nvSpPr>
        <xdr:cNvPr id="31335" name="직사각형 31334"/>
        <xdr:cNvSpPr/>
      </xdr:nvSpPr>
      <xdr:spPr>
        <a:xfrm>
          <a:off x="8890363" y="8850630"/>
          <a:ext cx="5377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57</xdr:row>
      <xdr:rowOff>76200</xdr:rowOff>
    </xdr:from>
    <xdr:to>
      <xdr:col>31</xdr:col>
      <xdr:colOff>2433</xdr:colOff>
      <xdr:row>57</xdr:row>
      <xdr:rowOff>76200</xdr:rowOff>
    </xdr:to>
    <xdr:cxnSp macro="">
      <xdr:nvCxnSpPr>
        <xdr:cNvPr id="31336" name="직선 화살표 연결선 31335"/>
        <xdr:cNvCxnSpPr/>
      </xdr:nvCxnSpPr>
      <xdr:spPr>
        <a:xfrm>
          <a:off x="8890363" y="8907780"/>
          <a:ext cx="1265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55</xdr:row>
      <xdr:rowOff>19050</xdr:rowOff>
    </xdr:from>
    <xdr:to>
      <xdr:col>32</xdr:col>
      <xdr:colOff>103414</xdr:colOff>
      <xdr:row>55</xdr:row>
      <xdr:rowOff>133350</xdr:rowOff>
    </xdr:to>
    <xdr:sp macro="" textlink="">
      <xdr:nvSpPr>
        <xdr:cNvPr id="31337" name="직사각형 31336"/>
        <xdr:cNvSpPr/>
      </xdr:nvSpPr>
      <xdr:spPr>
        <a:xfrm>
          <a:off x="9076509" y="8545830"/>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55</xdr:row>
      <xdr:rowOff>76200</xdr:rowOff>
    </xdr:from>
    <xdr:to>
      <xdr:col>31</xdr:col>
      <xdr:colOff>62049</xdr:colOff>
      <xdr:row>55</xdr:row>
      <xdr:rowOff>76200</xdr:rowOff>
    </xdr:to>
    <xdr:cxnSp macro="">
      <xdr:nvCxnSpPr>
        <xdr:cNvPr id="31338" name="직선 화살표 연결선 31337"/>
        <xdr:cNvCxnSpPr/>
      </xdr:nvCxnSpPr>
      <xdr:spPr>
        <a:xfrm>
          <a:off x="9076509" y="860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54</xdr:row>
      <xdr:rowOff>19050</xdr:rowOff>
    </xdr:from>
    <xdr:to>
      <xdr:col>32</xdr:col>
      <xdr:colOff>41366</xdr:colOff>
      <xdr:row>54</xdr:row>
      <xdr:rowOff>133350</xdr:rowOff>
    </xdr:to>
    <xdr:sp macro="" textlink="">
      <xdr:nvSpPr>
        <xdr:cNvPr id="31339" name="직사각형 31338"/>
        <xdr:cNvSpPr/>
      </xdr:nvSpPr>
      <xdr:spPr>
        <a:xfrm>
          <a:off x="9097191" y="83934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54</xdr:row>
      <xdr:rowOff>76200</xdr:rowOff>
    </xdr:from>
    <xdr:to>
      <xdr:col>31</xdr:col>
      <xdr:colOff>82731</xdr:colOff>
      <xdr:row>54</xdr:row>
      <xdr:rowOff>76200</xdr:rowOff>
    </xdr:to>
    <xdr:cxnSp macro="">
      <xdr:nvCxnSpPr>
        <xdr:cNvPr id="31340" name="직선 화살표 연결선 31339"/>
        <xdr:cNvCxnSpPr/>
      </xdr:nvCxnSpPr>
      <xdr:spPr>
        <a:xfrm>
          <a:off x="9097191" y="845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53</xdr:row>
      <xdr:rowOff>19050</xdr:rowOff>
    </xdr:from>
    <xdr:to>
      <xdr:col>31</xdr:col>
      <xdr:colOff>103414</xdr:colOff>
      <xdr:row>53</xdr:row>
      <xdr:rowOff>133350</xdr:rowOff>
    </xdr:to>
    <xdr:sp macro="" textlink="">
      <xdr:nvSpPr>
        <xdr:cNvPr id="31341" name="직사각형 31340"/>
        <xdr:cNvSpPr/>
      </xdr:nvSpPr>
      <xdr:spPr>
        <a:xfrm>
          <a:off x="9076509" y="82410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53</xdr:row>
      <xdr:rowOff>76200</xdr:rowOff>
    </xdr:from>
    <xdr:to>
      <xdr:col>31</xdr:col>
      <xdr:colOff>62049</xdr:colOff>
      <xdr:row>53</xdr:row>
      <xdr:rowOff>76200</xdr:rowOff>
    </xdr:to>
    <xdr:cxnSp macro="">
      <xdr:nvCxnSpPr>
        <xdr:cNvPr id="31342" name="직선 화살표 연결선 31341"/>
        <xdr:cNvCxnSpPr/>
      </xdr:nvCxnSpPr>
      <xdr:spPr>
        <a:xfrm>
          <a:off x="9076509" y="829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52</xdr:row>
      <xdr:rowOff>19050</xdr:rowOff>
    </xdr:from>
    <xdr:to>
      <xdr:col>31</xdr:col>
      <xdr:colOff>82731</xdr:colOff>
      <xdr:row>52</xdr:row>
      <xdr:rowOff>133350</xdr:rowOff>
    </xdr:to>
    <xdr:sp macro="" textlink="">
      <xdr:nvSpPr>
        <xdr:cNvPr id="31343" name="직사각형 31342"/>
        <xdr:cNvSpPr/>
      </xdr:nvSpPr>
      <xdr:spPr>
        <a:xfrm>
          <a:off x="9035143" y="8088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52</xdr:row>
      <xdr:rowOff>76200</xdr:rowOff>
    </xdr:from>
    <xdr:to>
      <xdr:col>31</xdr:col>
      <xdr:colOff>20683</xdr:colOff>
      <xdr:row>52</xdr:row>
      <xdr:rowOff>76200</xdr:rowOff>
    </xdr:to>
    <xdr:cxnSp macro="">
      <xdr:nvCxnSpPr>
        <xdr:cNvPr id="31344" name="직선 화살표 연결선 31343"/>
        <xdr:cNvCxnSpPr/>
      </xdr:nvCxnSpPr>
      <xdr:spPr>
        <a:xfrm>
          <a:off x="9035143" y="814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51</xdr:row>
      <xdr:rowOff>19050</xdr:rowOff>
    </xdr:from>
    <xdr:to>
      <xdr:col>31</xdr:col>
      <xdr:colOff>82731</xdr:colOff>
      <xdr:row>51</xdr:row>
      <xdr:rowOff>133350</xdr:rowOff>
    </xdr:to>
    <xdr:sp macro="" textlink="">
      <xdr:nvSpPr>
        <xdr:cNvPr id="31345" name="직사각형 31344"/>
        <xdr:cNvSpPr/>
      </xdr:nvSpPr>
      <xdr:spPr>
        <a:xfrm>
          <a:off x="9035143" y="7936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51</xdr:row>
      <xdr:rowOff>76200</xdr:rowOff>
    </xdr:from>
    <xdr:to>
      <xdr:col>31</xdr:col>
      <xdr:colOff>20683</xdr:colOff>
      <xdr:row>51</xdr:row>
      <xdr:rowOff>76200</xdr:rowOff>
    </xdr:to>
    <xdr:cxnSp macro="">
      <xdr:nvCxnSpPr>
        <xdr:cNvPr id="31346" name="직선 화살표 연결선 31345"/>
        <xdr:cNvCxnSpPr/>
      </xdr:nvCxnSpPr>
      <xdr:spPr>
        <a:xfrm>
          <a:off x="9035143"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50</xdr:row>
      <xdr:rowOff>19050</xdr:rowOff>
    </xdr:from>
    <xdr:to>
      <xdr:col>32</xdr:col>
      <xdr:colOff>103414</xdr:colOff>
      <xdr:row>50</xdr:row>
      <xdr:rowOff>133350</xdr:rowOff>
    </xdr:to>
    <xdr:sp macro="" textlink="">
      <xdr:nvSpPr>
        <xdr:cNvPr id="31347" name="직사각형 31346"/>
        <xdr:cNvSpPr/>
      </xdr:nvSpPr>
      <xdr:spPr>
        <a:xfrm>
          <a:off x="9035143" y="77838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50</xdr:row>
      <xdr:rowOff>76200</xdr:rowOff>
    </xdr:from>
    <xdr:to>
      <xdr:col>31</xdr:col>
      <xdr:colOff>20683</xdr:colOff>
      <xdr:row>50</xdr:row>
      <xdr:rowOff>76200</xdr:rowOff>
    </xdr:to>
    <xdr:cxnSp macro="">
      <xdr:nvCxnSpPr>
        <xdr:cNvPr id="31348" name="직선 화살표 연결선 31347"/>
        <xdr:cNvCxnSpPr/>
      </xdr:nvCxnSpPr>
      <xdr:spPr>
        <a:xfrm>
          <a:off x="9035143"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49</xdr:row>
      <xdr:rowOff>19050</xdr:rowOff>
    </xdr:from>
    <xdr:to>
      <xdr:col>34</xdr:col>
      <xdr:colOff>82731</xdr:colOff>
      <xdr:row>49</xdr:row>
      <xdr:rowOff>133350</xdr:rowOff>
    </xdr:to>
    <xdr:sp macro="" textlink="">
      <xdr:nvSpPr>
        <xdr:cNvPr id="31349" name="직사각형 31348"/>
        <xdr:cNvSpPr/>
      </xdr:nvSpPr>
      <xdr:spPr>
        <a:xfrm>
          <a:off x="8890363" y="7631430"/>
          <a:ext cx="64116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49</xdr:row>
      <xdr:rowOff>76200</xdr:rowOff>
    </xdr:from>
    <xdr:to>
      <xdr:col>30</xdr:col>
      <xdr:colOff>98401</xdr:colOff>
      <xdr:row>49</xdr:row>
      <xdr:rowOff>76200</xdr:rowOff>
    </xdr:to>
    <xdr:cxnSp macro="">
      <xdr:nvCxnSpPr>
        <xdr:cNvPr id="31350" name="직선 화살표 연결선 31349"/>
        <xdr:cNvCxnSpPr/>
      </xdr:nvCxnSpPr>
      <xdr:spPr>
        <a:xfrm>
          <a:off x="8890363" y="7688580"/>
          <a:ext cx="777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47</xdr:row>
      <xdr:rowOff>19050</xdr:rowOff>
    </xdr:from>
    <xdr:to>
      <xdr:col>34</xdr:col>
      <xdr:colOff>82731</xdr:colOff>
      <xdr:row>47</xdr:row>
      <xdr:rowOff>133350</xdr:rowOff>
    </xdr:to>
    <xdr:sp macro="" textlink="">
      <xdr:nvSpPr>
        <xdr:cNvPr id="31351" name="직사각형 31350"/>
        <xdr:cNvSpPr/>
      </xdr:nvSpPr>
      <xdr:spPr>
        <a:xfrm>
          <a:off x="9490166" y="73266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47</xdr:row>
      <xdr:rowOff>76200</xdr:rowOff>
    </xdr:from>
    <xdr:to>
      <xdr:col>34</xdr:col>
      <xdr:colOff>41366</xdr:colOff>
      <xdr:row>47</xdr:row>
      <xdr:rowOff>76200</xdr:rowOff>
    </xdr:to>
    <xdr:cxnSp macro="">
      <xdr:nvCxnSpPr>
        <xdr:cNvPr id="31352" name="직선 화살표 연결선 31351"/>
        <xdr:cNvCxnSpPr/>
      </xdr:nvCxnSpPr>
      <xdr:spPr>
        <a:xfrm>
          <a:off x="9490166"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46</xdr:row>
      <xdr:rowOff>19050</xdr:rowOff>
    </xdr:from>
    <xdr:to>
      <xdr:col>34</xdr:col>
      <xdr:colOff>41366</xdr:colOff>
      <xdr:row>46</xdr:row>
      <xdr:rowOff>133350</xdr:rowOff>
    </xdr:to>
    <xdr:sp macro="" textlink="">
      <xdr:nvSpPr>
        <xdr:cNvPr id="31353" name="직사각형 31352"/>
        <xdr:cNvSpPr/>
      </xdr:nvSpPr>
      <xdr:spPr>
        <a:xfrm>
          <a:off x="9407434" y="71742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46</xdr:row>
      <xdr:rowOff>76200</xdr:rowOff>
    </xdr:from>
    <xdr:to>
      <xdr:col>33</xdr:col>
      <xdr:colOff>103414</xdr:colOff>
      <xdr:row>46</xdr:row>
      <xdr:rowOff>76200</xdr:rowOff>
    </xdr:to>
    <xdr:cxnSp macro="">
      <xdr:nvCxnSpPr>
        <xdr:cNvPr id="31354" name="직선 화살표 연결선 31353"/>
        <xdr:cNvCxnSpPr/>
      </xdr:nvCxnSpPr>
      <xdr:spPr>
        <a:xfrm>
          <a:off x="9407434"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45</xdr:row>
      <xdr:rowOff>19050</xdr:rowOff>
    </xdr:from>
    <xdr:to>
      <xdr:col>34</xdr:col>
      <xdr:colOff>62049</xdr:colOff>
      <xdr:row>45</xdr:row>
      <xdr:rowOff>133350</xdr:rowOff>
    </xdr:to>
    <xdr:sp macro="" textlink="">
      <xdr:nvSpPr>
        <xdr:cNvPr id="31355" name="직사각형 31354"/>
        <xdr:cNvSpPr/>
      </xdr:nvSpPr>
      <xdr:spPr>
        <a:xfrm>
          <a:off x="9407434" y="70218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45</xdr:row>
      <xdr:rowOff>76200</xdr:rowOff>
    </xdr:from>
    <xdr:to>
      <xdr:col>33</xdr:col>
      <xdr:colOff>103414</xdr:colOff>
      <xdr:row>45</xdr:row>
      <xdr:rowOff>76200</xdr:rowOff>
    </xdr:to>
    <xdr:cxnSp macro="">
      <xdr:nvCxnSpPr>
        <xdr:cNvPr id="31356" name="직선 화살표 연결선 31355"/>
        <xdr:cNvCxnSpPr/>
      </xdr:nvCxnSpPr>
      <xdr:spPr>
        <a:xfrm>
          <a:off x="9407434"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44</xdr:row>
      <xdr:rowOff>19050</xdr:rowOff>
    </xdr:from>
    <xdr:to>
      <xdr:col>33</xdr:col>
      <xdr:colOff>124097</xdr:colOff>
      <xdr:row>44</xdr:row>
      <xdr:rowOff>133350</xdr:rowOff>
    </xdr:to>
    <xdr:sp macro="" textlink="">
      <xdr:nvSpPr>
        <xdr:cNvPr id="31357" name="직사각형 31356"/>
        <xdr:cNvSpPr/>
      </xdr:nvSpPr>
      <xdr:spPr>
        <a:xfrm>
          <a:off x="9366069" y="6869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44</xdr:row>
      <xdr:rowOff>76200</xdr:rowOff>
    </xdr:from>
    <xdr:to>
      <xdr:col>33</xdr:col>
      <xdr:colOff>62049</xdr:colOff>
      <xdr:row>44</xdr:row>
      <xdr:rowOff>76200</xdr:rowOff>
    </xdr:to>
    <xdr:cxnSp macro="">
      <xdr:nvCxnSpPr>
        <xdr:cNvPr id="31358" name="직선 화살표 연결선 31357"/>
        <xdr:cNvCxnSpPr/>
      </xdr:nvCxnSpPr>
      <xdr:spPr>
        <a:xfrm>
          <a:off x="9366069"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43</xdr:row>
      <xdr:rowOff>19050</xdr:rowOff>
    </xdr:from>
    <xdr:to>
      <xdr:col>32</xdr:col>
      <xdr:colOff>124097</xdr:colOff>
      <xdr:row>43</xdr:row>
      <xdr:rowOff>133350</xdr:rowOff>
    </xdr:to>
    <xdr:sp macro="" textlink="">
      <xdr:nvSpPr>
        <xdr:cNvPr id="31359" name="직사각형 31358"/>
        <xdr:cNvSpPr/>
      </xdr:nvSpPr>
      <xdr:spPr>
        <a:xfrm>
          <a:off x="9200606" y="67170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43</xdr:row>
      <xdr:rowOff>76200</xdr:rowOff>
    </xdr:from>
    <xdr:to>
      <xdr:col>32</xdr:col>
      <xdr:colOff>41366</xdr:colOff>
      <xdr:row>43</xdr:row>
      <xdr:rowOff>76200</xdr:rowOff>
    </xdr:to>
    <xdr:cxnSp macro="">
      <xdr:nvCxnSpPr>
        <xdr:cNvPr id="31360" name="직선 화살표 연결선 31359"/>
        <xdr:cNvCxnSpPr/>
      </xdr:nvCxnSpPr>
      <xdr:spPr>
        <a:xfrm>
          <a:off x="9200606" y="677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42</xdr:row>
      <xdr:rowOff>19050</xdr:rowOff>
    </xdr:from>
    <xdr:to>
      <xdr:col>33</xdr:col>
      <xdr:colOff>82731</xdr:colOff>
      <xdr:row>42</xdr:row>
      <xdr:rowOff>133350</xdr:rowOff>
    </xdr:to>
    <xdr:sp macro="" textlink="">
      <xdr:nvSpPr>
        <xdr:cNvPr id="31361" name="직사각형 31360"/>
        <xdr:cNvSpPr/>
      </xdr:nvSpPr>
      <xdr:spPr>
        <a:xfrm>
          <a:off x="9324703" y="6564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42</xdr:row>
      <xdr:rowOff>76200</xdr:rowOff>
    </xdr:from>
    <xdr:to>
      <xdr:col>33</xdr:col>
      <xdr:colOff>20683</xdr:colOff>
      <xdr:row>42</xdr:row>
      <xdr:rowOff>76200</xdr:rowOff>
    </xdr:to>
    <xdr:cxnSp macro="">
      <xdr:nvCxnSpPr>
        <xdr:cNvPr id="31362" name="직선 화살표 연결선 31361"/>
        <xdr:cNvCxnSpPr/>
      </xdr:nvCxnSpPr>
      <xdr:spPr>
        <a:xfrm>
          <a:off x="9324703" y="662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41</xdr:row>
      <xdr:rowOff>19050</xdr:rowOff>
    </xdr:from>
    <xdr:to>
      <xdr:col>34</xdr:col>
      <xdr:colOff>82731</xdr:colOff>
      <xdr:row>41</xdr:row>
      <xdr:rowOff>133350</xdr:rowOff>
    </xdr:to>
    <xdr:sp macro="" textlink="">
      <xdr:nvSpPr>
        <xdr:cNvPr id="31363" name="직사각형 31362"/>
        <xdr:cNvSpPr/>
      </xdr:nvSpPr>
      <xdr:spPr>
        <a:xfrm>
          <a:off x="9200606" y="6412230"/>
          <a:ext cx="3309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41</xdr:row>
      <xdr:rowOff>76200</xdr:rowOff>
    </xdr:from>
    <xdr:to>
      <xdr:col>32</xdr:col>
      <xdr:colOff>41366</xdr:colOff>
      <xdr:row>41</xdr:row>
      <xdr:rowOff>76200</xdr:rowOff>
    </xdr:to>
    <xdr:cxnSp macro="">
      <xdr:nvCxnSpPr>
        <xdr:cNvPr id="31364" name="직선 화살표 연결선 31363"/>
        <xdr:cNvCxnSpPr/>
      </xdr:nvCxnSpPr>
      <xdr:spPr>
        <a:xfrm>
          <a:off x="9200606" y="646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39</xdr:row>
      <xdr:rowOff>19050</xdr:rowOff>
    </xdr:from>
    <xdr:to>
      <xdr:col>32</xdr:col>
      <xdr:colOff>62048</xdr:colOff>
      <xdr:row>39</xdr:row>
      <xdr:rowOff>133350</xdr:rowOff>
    </xdr:to>
    <xdr:sp macro="" textlink="">
      <xdr:nvSpPr>
        <xdr:cNvPr id="31365" name="직사각형 31364"/>
        <xdr:cNvSpPr/>
      </xdr:nvSpPr>
      <xdr:spPr>
        <a:xfrm>
          <a:off x="9097191" y="61074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39</xdr:row>
      <xdr:rowOff>76200</xdr:rowOff>
    </xdr:from>
    <xdr:to>
      <xdr:col>31</xdr:col>
      <xdr:colOff>82731</xdr:colOff>
      <xdr:row>39</xdr:row>
      <xdr:rowOff>76200</xdr:rowOff>
    </xdr:to>
    <xdr:cxnSp macro="">
      <xdr:nvCxnSpPr>
        <xdr:cNvPr id="31366" name="직선 화살표 연결선 31365"/>
        <xdr:cNvCxnSpPr/>
      </xdr:nvCxnSpPr>
      <xdr:spPr>
        <a:xfrm>
          <a:off x="9097191"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38</xdr:row>
      <xdr:rowOff>19050</xdr:rowOff>
    </xdr:from>
    <xdr:to>
      <xdr:col>33</xdr:col>
      <xdr:colOff>41365</xdr:colOff>
      <xdr:row>38</xdr:row>
      <xdr:rowOff>133350</xdr:rowOff>
    </xdr:to>
    <xdr:sp macro="" textlink="">
      <xdr:nvSpPr>
        <xdr:cNvPr id="31367" name="직사각형 31366"/>
        <xdr:cNvSpPr/>
      </xdr:nvSpPr>
      <xdr:spPr>
        <a:xfrm>
          <a:off x="9241972" y="5955030"/>
          <a:ext cx="1034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38</xdr:row>
      <xdr:rowOff>76200</xdr:rowOff>
    </xdr:from>
    <xdr:to>
      <xdr:col>32</xdr:col>
      <xdr:colOff>82732</xdr:colOff>
      <xdr:row>38</xdr:row>
      <xdr:rowOff>76200</xdr:rowOff>
    </xdr:to>
    <xdr:cxnSp macro="">
      <xdr:nvCxnSpPr>
        <xdr:cNvPr id="31368" name="직선 화살표 연결선 31367"/>
        <xdr:cNvCxnSpPr/>
      </xdr:nvCxnSpPr>
      <xdr:spPr>
        <a:xfrm>
          <a:off x="9241972" y="601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37</xdr:row>
      <xdr:rowOff>19050</xdr:rowOff>
    </xdr:from>
    <xdr:to>
      <xdr:col>32</xdr:col>
      <xdr:colOff>103414</xdr:colOff>
      <xdr:row>37</xdr:row>
      <xdr:rowOff>133350</xdr:rowOff>
    </xdr:to>
    <xdr:sp macro="" textlink="">
      <xdr:nvSpPr>
        <xdr:cNvPr id="31369" name="직사각형 31368"/>
        <xdr:cNvSpPr/>
      </xdr:nvSpPr>
      <xdr:spPr>
        <a:xfrm>
          <a:off x="9179923" y="58026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37</xdr:row>
      <xdr:rowOff>76200</xdr:rowOff>
    </xdr:from>
    <xdr:to>
      <xdr:col>32</xdr:col>
      <xdr:colOff>20683</xdr:colOff>
      <xdr:row>37</xdr:row>
      <xdr:rowOff>76200</xdr:rowOff>
    </xdr:to>
    <xdr:cxnSp macro="">
      <xdr:nvCxnSpPr>
        <xdr:cNvPr id="31370" name="직선 화살표 연결선 31369"/>
        <xdr:cNvCxnSpPr/>
      </xdr:nvCxnSpPr>
      <xdr:spPr>
        <a:xfrm>
          <a:off x="9179923"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36</xdr:row>
      <xdr:rowOff>19050</xdr:rowOff>
    </xdr:from>
    <xdr:to>
      <xdr:col>33</xdr:col>
      <xdr:colOff>41365</xdr:colOff>
      <xdr:row>36</xdr:row>
      <xdr:rowOff>133350</xdr:rowOff>
    </xdr:to>
    <xdr:sp macro="" textlink="">
      <xdr:nvSpPr>
        <xdr:cNvPr id="31371" name="직사각형 31370"/>
        <xdr:cNvSpPr/>
      </xdr:nvSpPr>
      <xdr:spPr>
        <a:xfrm>
          <a:off x="9241972" y="5650230"/>
          <a:ext cx="1034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36</xdr:row>
      <xdr:rowOff>76200</xdr:rowOff>
    </xdr:from>
    <xdr:to>
      <xdr:col>32</xdr:col>
      <xdr:colOff>82732</xdr:colOff>
      <xdr:row>36</xdr:row>
      <xdr:rowOff>76200</xdr:rowOff>
    </xdr:to>
    <xdr:cxnSp macro="">
      <xdr:nvCxnSpPr>
        <xdr:cNvPr id="31372" name="직선 화살표 연결선 31371"/>
        <xdr:cNvCxnSpPr/>
      </xdr:nvCxnSpPr>
      <xdr:spPr>
        <a:xfrm>
          <a:off x="9241972"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35</xdr:row>
      <xdr:rowOff>19050</xdr:rowOff>
    </xdr:from>
    <xdr:to>
      <xdr:col>32</xdr:col>
      <xdr:colOff>41366</xdr:colOff>
      <xdr:row>35</xdr:row>
      <xdr:rowOff>133350</xdr:rowOff>
    </xdr:to>
    <xdr:sp macro="" textlink="">
      <xdr:nvSpPr>
        <xdr:cNvPr id="31373" name="직사각형 31372"/>
        <xdr:cNvSpPr/>
      </xdr:nvSpPr>
      <xdr:spPr>
        <a:xfrm>
          <a:off x="9117874" y="54978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35</xdr:row>
      <xdr:rowOff>76200</xdr:rowOff>
    </xdr:from>
    <xdr:to>
      <xdr:col>31</xdr:col>
      <xdr:colOff>103414</xdr:colOff>
      <xdr:row>35</xdr:row>
      <xdr:rowOff>76200</xdr:rowOff>
    </xdr:to>
    <xdr:cxnSp macro="">
      <xdr:nvCxnSpPr>
        <xdr:cNvPr id="31374" name="직선 화살표 연결선 31373"/>
        <xdr:cNvCxnSpPr/>
      </xdr:nvCxnSpPr>
      <xdr:spPr>
        <a:xfrm>
          <a:off x="9117874"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34</xdr:row>
      <xdr:rowOff>19050</xdr:rowOff>
    </xdr:from>
    <xdr:to>
      <xdr:col>31</xdr:col>
      <xdr:colOff>124097</xdr:colOff>
      <xdr:row>34</xdr:row>
      <xdr:rowOff>133350</xdr:rowOff>
    </xdr:to>
    <xdr:sp macro="" textlink="">
      <xdr:nvSpPr>
        <xdr:cNvPr id="31375" name="직사각형 31374"/>
        <xdr:cNvSpPr/>
      </xdr:nvSpPr>
      <xdr:spPr>
        <a:xfrm>
          <a:off x="9076509" y="5345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34</xdr:row>
      <xdr:rowOff>76200</xdr:rowOff>
    </xdr:from>
    <xdr:to>
      <xdr:col>31</xdr:col>
      <xdr:colOff>62049</xdr:colOff>
      <xdr:row>34</xdr:row>
      <xdr:rowOff>76200</xdr:rowOff>
    </xdr:to>
    <xdr:cxnSp macro="">
      <xdr:nvCxnSpPr>
        <xdr:cNvPr id="31376" name="직선 화살표 연결선 31375"/>
        <xdr:cNvCxnSpPr/>
      </xdr:nvCxnSpPr>
      <xdr:spPr>
        <a:xfrm>
          <a:off x="9076509"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33</xdr:row>
      <xdr:rowOff>19050</xdr:rowOff>
    </xdr:from>
    <xdr:to>
      <xdr:col>31</xdr:col>
      <xdr:colOff>82731</xdr:colOff>
      <xdr:row>33</xdr:row>
      <xdr:rowOff>133350</xdr:rowOff>
    </xdr:to>
    <xdr:sp macro="" textlink="">
      <xdr:nvSpPr>
        <xdr:cNvPr id="31377" name="직사각형 31376"/>
        <xdr:cNvSpPr/>
      </xdr:nvSpPr>
      <xdr:spPr>
        <a:xfrm>
          <a:off x="9035143" y="5193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33</xdr:row>
      <xdr:rowOff>76200</xdr:rowOff>
    </xdr:from>
    <xdr:to>
      <xdr:col>31</xdr:col>
      <xdr:colOff>20683</xdr:colOff>
      <xdr:row>33</xdr:row>
      <xdr:rowOff>76200</xdr:rowOff>
    </xdr:to>
    <xdr:cxnSp macro="">
      <xdr:nvCxnSpPr>
        <xdr:cNvPr id="31378" name="직선 화살표 연결선 31377"/>
        <xdr:cNvCxnSpPr/>
      </xdr:nvCxnSpPr>
      <xdr:spPr>
        <a:xfrm>
          <a:off x="9035143"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32</xdr:row>
      <xdr:rowOff>19050</xdr:rowOff>
    </xdr:from>
    <xdr:to>
      <xdr:col>33</xdr:col>
      <xdr:colOff>41365</xdr:colOff>
      <xdr:row>32</xdr:row>
      <xdr:rowOff>133350</xdr:rowOff>
    </xdr:to>
    <xdr:sp macro="" textlink="">
      <xdr:nvSpPr>
        <xdr:cNvPr id="31379" name="직사각형 31378"/>
        <xdr:cNvSpPr/>
      </xdr:nvSpPr>
      <xdr:spPr>
        <a:xfrm>
          <a:off x="9035143" y="5040630"/>
          <a:ext cx="3102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32</xdr:row>
      <xdr:rowOff>76200</xdr:rowOff>
    </xdr:from>
    <xdr:to>
      <xdr:col>31</xdr:col>
      <xdr:colOff>20683</xdr:colOff>
      <xdr:row>32</xdr:row>
      <xdr:rowOff>76200</xdr:rowOff>
    </xdr:to>
    <xdr:cxnSp macro="">
      <xdr:nvCxnSpPr>
        <xdr:cNvPr id="31380" name="직선 화살표 연결선 31379"/>
        <xdr:cNvCxnSpPr/>
      </xdr:nvCxnSpPr>
      <xdr:spPr>
        <a:xfrm>
          <a:off x="9035143"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30</xdr:row>
      <xdr:rowOff>19050</xdr:rowOff>
    </xdr:from>
    <xdr:to>
      <xdr:col>32</xdr:col>
      <xdr:colOff>103414</xdr:colOff>
      <xdr:row>30</xdr:row>
      <xdr:rowOff>133350</xdr:rowOff>
    </xdr:to>
    <xdr:sp macro="" textlink="">
      <xdr:nvSpPr>
        <xdr:cNvPr id="31381" name="직사각형 31380"/>
        <xdr:cNvSpPr/>
      </xdr:nvSpPr>
      <xdr:spPr>
        <a:xfrm>
          <a:off x="9076509" y="4735830"/>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30</xdr:row>
      <xdr:rowOff>76200</xdr:rowOff>
    </xdr:from>
    <xdr:to>
      <xdr:col>31</xdr:col>
      <xdr:colOff>62049</xdr:colOff>
      <xdr:row>30</xdr:row>
      <xdr:rowOff>76200</xdr:rowOff>
    </xdr:to>
    <xdr:cxnSp macro="">
      <xdr:nvCxnSpPr>
        <xdr:cNvPr id="31382" name="직선 화살표 연결선 31381"/>
        <xdr:cNvCxnSpPr/>
      </xdr:nvCxnSpPr>
      <xdr:spPr>
        <a:xfrm>
          <a:off x="9076509"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29</xdr:row>
      <xdr:rowOff>19050</xdr:rowOff>
    </xdr:from>
    <xdr:to>
      <xdr:col>32</xdr:col>
      <xdr:colOff>41366</xdr:colOff>
      <xdr:row>29</xdr:row>
      <xdr:rowOff>133350</xdr:rowOff>
    </xdr:to>
    <xdr:sp macro="" textlink="">
      <xdr:nvSpPr>
        <xdr:cNvPr id="31383" name="직사각형 31382"/>
        <xdr:cNvSpPr/>
      </xdr:nvSpPr>
      <xdr:spPr>
        <a:xfrm>
          <a:off x="9097191" y="45834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29</xdr:row>
      <xdr:rowOff>76200</xdr:rowOff>
    </xdr:from>
    <xdr:to>
      <xdr:col>31</xdr:col>
      <xdr:colOff>82731</xdr:colOff>
      <xdr:row>29</xdr:row>
      <xdr:rowOff>76200</xdr:rowOff>
    </xdr:to>
    <xdr:cxnSp macro="">
      <xdr:nvCxnSpPr>
        <xdr:cNvPr id="31384" name="직선 화살표 연결선 31383"/>
        <xdr:cNvCxnSpPr/>
      </xdr:nvCxnSpPr>
      <xdr:spPr>
        <a:xfrm>
          <a:off x="9097191"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28</xdr:row>
      <xdr:rowOff>19050</xdr:rowOff>
    </xdr:from>
    <xdr:to>
      <xdr:col>31</xdr:col>
      <xdr:colOff>103414</xdr:colOff>
      <xdr:row>28</xdr:row>
      <xdr:rowOff>133350</xdr:rowOff>
    </xdr:to>
    <xdr:sp macro="" textlink="">
      <xdr:nvSpPr>
        <xdr:cNvPr id="31385" name="직사각형 31384"/>
        <xdr:cNvSpPr/>
      </xdr:nvSpPr>
      <xdr:spPr>
        <a:xfrm>
          <a:off x="9035143" y="44310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28</xdr:row>
      <xdr:rowOff>76200</xdr:rowOff>
    </xdr:from>
    <xdr:to>
      <xdr:col>31</xdr:col>
      <xdr:colOff>20683</xdr:colOff>
      <xdr:row>28</xdr:row>
      <xdr:rowOff>76200</xdr:rowOff>
    </xdr:to>
    <xdr:cxnSp macro="">
      <xdr:nvCxnSpPr>
        <xdr:cNvPr id="31386" name="직선 화살표 연결선 31385"/>
        <xdr:cNvCxnSpPr/>
      </xdr:nvCxnSpPr>
      <xdr:spPr>
        <a:xfrm>
          <a:off x="9035143"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27</xdr:row>
      <xdr:rowOff>19050</xdr:rowOff>
    </xdr:from>
    <xdr:to>
      <xdr:col>32</xdr:col>
      <xdr:colOff>103414</xdr:colOff>
      <xdr:row>27</xdr:row>
      <xdr:rowOff>133350</xdr:rowOff>
    </xdr:to>
    <xdr:sp macro="" textlink="">
      <xdr:nvSpPr>
        <xdr:cNvPr id="31387" name="직사각형 31386"/>
        <xdr:cNvSpPr/>
      </xdr:nvSpPr>
      <xdr:spPr>
        <a:xfrm>
          <a:off x="9035143" y="42786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27</xdr:row>
      <xdr:rowOff>76200</xdr:rowOff>
    </xdr:from>
    <xdr:to>
      <xdr:col>31</xdr:col>
      <xdr:colOff>20683</xdr:colOff>
      <xdr:row>27</xdr:row>
      <xdr:rowOff>76200</xdr:rowOff>
    </xdr:to>
    <xdr:cxnSp macro="">
      <xdr:nvCxnSpPr>
        <xdr:cNvPr id="31388" name="직선 화살표 연결선 31387"/>
        <xdr:cNvCxnSpPr/>
      </xdr:nvCxnSpPr>
      <xdr:spPr>
        <a:xfrm>
          <a:off x="9035143"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26</xdr:row>
      <xdr:rowOff>19050</xdr:rowOff>
    </xdr:from>
    <xdr:to>
      <xdr:col>34</xdr:col>
      <xdr:colOff>82731</xdr:colOff>
      <xdr:row>26</xdr:row>
      <xdr:rowOff>133350</xdr:rowOff>
    </xdr:to>
    <xdr:sp macro="" textlink="">
      <xdr:nvSpPr>
        <xdr:cNvPr id="31389" name="직사각형 31388"/>
        <xdr:cNvSpPr/>
      </xdr:nvSpPr>
      <xdr:spPr>
        <a:xfrm>
          <a:off x="9035143" y="4126230"/>
          <a:ext cx="4963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26</xdr:row>
      <xdr:rowOff>76200</xdr:rowOff>
    </xdr:from>
    <xdr:to>
      <xdr:col>31</xdr:col>
      <xdr:colOff>20683</xdr:colOff>
      <xdr:row>26</xdr:row>
      <xdr:rowOff>76200</xdr:rowOff>
    </xdr:to>
    <xdr:cxnSp macro="">
      <xdr:nvCxnSpPr>
        <xdr:cNvPr id="31390" name="직선 화살표 연결선 31389"/>
        <xdr:cNvCxnSpPr/>
      </xdr:nvCxnSpPr>
      <xdr:spPr>
        <a:xfrm>
          <a:off x="9035143"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25</xdr:row>
      <xdr:rowOff>19050</xdr:rowOff>
    </xdr:from>
    <xdr:to>
      <xdr:col>34</xdr:col>
      <xdr:colOff>82731</xdr:colOff>
      <xdr:row>25</xdr:row>
      <xdr:rowOff>133350</xdr:rowOff>
    </xdr:to>
    <xdr:sp macro="" textlink="">
      <xdr:nvSpPr>
        <xdr:cNvPr id="31391" name="직사각형 31390"/>
        <xdr:cNvSpPr/>
      </xdr:nvSpPr>
      <xdr:spPr>
        <a:xfrm>
          <a:off x="8890363" y="3973830"/>
          <a:ext cx="64116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25</xdr:row>
      <xdr:rowOff>76200</xdr:rowOff>
    </xdr:from>
    <xdr:to>
      <xdr:col>30</xdr:col>
      <xdr:colOff>63786</xdr:colOff>
      <xdr:row>25</xdr:row>
      <xdr:rowOff>76200</xdr:rowOff>
    </xdr:to>
    <xdr:cxnSp macro="">
      <xdr:nvCxnSpPr>
        <xdr:cNvPr id="31392" name="직선 화살표 연결선 31391"/>
        <xdr:cNvCxnSpPr/>
      </xdr:nvCxnSpPr>
      <xdr:spPr>
        <a:xfrm>
          <a:off x="8890363" y="4030980"/>
          <a:ext cx="431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23</xdr:row>
      <xdr:rowOff>19050</xdr:rowOff>
    </xdr:from>
    <xdr:to>
      <xdr:col>31</xdr:col>
      <xdr:colOff>41366</xdr:colOff>
      <xdr:row>23</xdr:row>
      <xdr:rowOff>133350</xdr:rowOff>
    </xdr:to>
    <xdr:sp macro="" textlink="">
      <xdr:nvSpPr>
        <xdr:cNvPr id="31393" name="직사각형 31392"/>
        <xdr:cNvSpPr/>
      </xdr:nvSpPr>
      <xdr:spPr>
        <a:xfrm>
          <a:off x="8890363" y="36690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23</xdr:row>
      <xdr:rowOff>76200</xdr:rowOff>
    </xdr:from>
    <xdr:to>
      <xdr:col>31</xdr:col>
      <xdr:colOff>41366</xdr:colOff>
      <xdr:row>23</xdr:row>
      <xdr:rowOff>76200</xdr:rowOff>
    </xdr:to>
    <xdr:cxnSp macro="">
      <xdr:nvCxnSpPr>
        <xdr:cNvPr id="31394" name="직선 화살표 연결선 31393"/>
        <xdr:cNvCxnSpPr/>
      </xdr:nvCxnSpPr>
      <xdr:spPr>
        <a:xfrm>
          <a:off x="8890363" y="37261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22</xdr:row>
      <xdr:rowOff>19050</xdr:rowOff>
    </xdr:from>
    <xdr:to>
      <xdr:col>31</xdr:col>
      <xdr:colOff>41366</xdr:colOff>
      <xdr:row>22</xdr:row>
      <xdr:rowOff>133350</xdr:rowOff>
    </xdr:to>
    <xdr:sp macro="" textlink="">
      <xdr:nvSpPr>
        <xdr:cNvPr id="31395" name="직사각형 31394"/>
        <xdr:cNvSpPr/>
      </xdr:nvSpPr>
      <xdr:spPr>
        <a:xfrm>
          <a:off x="8890363" y="35166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22</xdr:row>
      <xdr:rowOff>76200</xdr:rowOff>
    </xdr:from>
    <xdr:to>
      <xdr:col>31</xdr:col>
      <xdr:colOff>41366</xdr:colOff>
      <xdr:row>22</xdr:row>
      <xdr:rowOff>76200</xdr:rowOff>
    </xdr:to>
    <xdr:cxnSp macro="">
      <xdr:nvCxnSpPr>
        <xdr:cNvPr id="31396" name="직선 화살표 연결선 31395"/>
        <xdr:cNvCxnSpPr/>
      </xdr:nvCxnSpPr>
      <xdr:spPr>
        <a:xfrm>
          <a:off x="8890363" y="35737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21</xdr:row>
      <xdr:rowOff>19050</xdr:rowOff>
    </xdr:from>
    <xdr:to>
      <xdr:col>31</xdr:col>
      <xdr:colOff>41366</xdr:colOff>
      <xdr:row>21</xdr:row>
      <xdr:rowOff>133350</xdr:rowOff>
    </xdr:to>
    <xdr:sp macro="" textlink="">
      <xdr:nvSpPr>
        <xdr:cNvPr id="31397" name="직사각형 31396"/>
        <xdr:cNvSpPr/>
      </xdr:nvSpPr>
      <xdr:spPr>
        <a:xfrm>
          <a:off x="8890363" y="33642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21</xdr:row>
      <xdr:rowOff>76200</xdr:rowOff>
    </xdr:from>
    <xdr:to>
      <xdr:col>31</xdr:col>
      <xdr:colOff>41366</xdr:colOff>
      <xdr:row>21</xdr:row>
      <xdr:rowOff>76200</xdr:rowOff>
    </xdr:to>
    <xdr:cxnSp macro="">
      <xdr:nvCxnSpPr>
        <xdr:cNvPr id="31398" name="직선 화살표 연결선 31397"/>
        <xdr:cNvCxnSpPr/>
      </xdr:nvCxnSpPr>
      <xdr:spPr>
        <a:xfrm>
          <a:off x="8890363" y="34213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20</xdr:row>
      <xdr:rowOff>19050</xdr:rowOff>
    </xdr:from>
    <xdr:to>
      <xdr:col>31</xdr:col>
      <xdr:colOff>41366</xdr:colOff>
      <xdr:row>20</xdr:row>
      <xdr:rowOff>133350</xdr:rowOff>
    </xdr:to>
    <xdr:sp macro="" textlink="">
      <xdr:nvSpPr>
        <xdr:cNvPr id="31399" name="직사각형 31398"/>
        <xdr:cNvSpPr/>
      </xdr:nvSpPr>
      <xdr:spPr>
        <a:xfrm>
          <a:off x="8890363" y="3211830"/>
          <a:ext cx="1654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20</xdr:row>
      <xdr:rowOff>76200</xdr:rowOff>
    </xdr:from>
    <xdr:to>
      <xdr:col>31</xdr:col>
      <xdr:colOff>41366</xdr:colOff>
      <xdr:row>20</xdr:row>
      <xdr:rowOff>76200</xdr:rowOff>
    </xdr:to>
    <xdr:cxnSp macro="">
      <xdr:nvCxnSpPr>
        <xdr:cNvPr id="31400" name="직선 화살표 연결선 31399"/>
        <xdr:cNvCxnSpPr/>
      </xdr:nvCxnSpPr>
      <xdr:spPr>
        <a:xfrm>
          <a:off x="8890363" y="32689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19</xdr:row>
      <xdr:rowOff>19050</xdr:rowOff>
    </xdr:from>
    <xdr:to>
      <xdr:col>42</xdr:col>
      <xdr:colOff>124097</xdr:colOff>
      <xdr:row>19</xdr:row>
      <xdr:rowOff>133350</xdr:rowOff>
    </xdr:to>
    <xdr:sp macro="" textlink="">
      <xdr:nvSpPr>
        <xdr:cNvPr id="31401" name="직사각형 31400"/>
        <xdr:cNvSpPr/>
      </xdr:nvSpPr>
      <xdr:spPr>
        <a:xfrm>
          <a:off x="8890363" y="3059430"/>
          <a:ext cx="18407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19</xdr:row>
      <xdr:rowOff>76200</xdr:rowOff>
    </xdr:from>
    <xdr:to>
      <xdr:col>32</xdr:col>
      <xdr:colOff>16005</xdr:colOff>
      <xdr:row>19</xdr:row>
      <xdr:rowOff>76200</xdr:rowOff>
    </xdr:to>
    <xdr:cxnSp macro="">
      <xdr:nvCxnSpPr>
        <xdr:cNvPr id="31402" name="직선 화살표 연결선 31401"/>
        <xdr:cNvCxnSpPr/>
      </xdr:nvCxnSpPr>
      <xdr:spPr>
        <a:xfrm>
          <a:off x="8890363" y="3116580"/>
          <a:ext cx="2848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17</xdr:row>
      <xdr:rowOff>19050</xdr:rowOff>
    </xdr:from>
    <xdr:to>
      <xdr:col>32</xdr:col>
      <xdr:colOff>124097</xdr:colOff>
      <xdr:row>17</xdr:row>
      <xdr:rowOff>133350</xdr:rowOff>
    </xdr:to>
    <xdr:sp macro="" textlink="">
      <xdr:nvSpPr>
        <xdr:cNvPr id="31403" name="직사각형 31402"/>
        <xdr:cNvSpPr/>
      </xdr:nvSpPr>
      <xdr:spPr>
        <a:xfrm>
          <a:off x="8745583" y="2754630"/>
          <a:ext cx="5377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17</xdr:row>
      <xdr:rowOff>76200</xdr:rowOff>
    </xdr:from>
    <xdr:to>
      <xdr:col>29</xdr:col>
      <xdr:colOff>128234</xdr:colOff>
      <xdr:row>17</xdr:row>
      <xdr:rowOff>76200</xdr:rowOff>
    </xdr:to>
    <xdr:cxnSp macro="">
      <xdr:nvCxnSpPr>
        <xdr:cNvPr id="31404" name="직선 화살표 연결선 31403"/>
        <xdr:cNvCxnSpPr/>
      </xdr:nvCxnSpPr>
      <xdr:spPr>
        <a:xfrm>
          <a:off x="8745583" y="2811780"/>
          <a:ext cx="10755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103414</xdr:colOff>
      <xdr:row>16</xdr:row>
      <xdr:rowOff>19050</xdr:rowOff>
    </xdr:from>
    <xdr:to>
      <xdr:col>31</xdr:col>
      <xdr:colOff>124097</xdr:colOff>
      <xdr:row>16</xdr:row>
      <xdr:rowOff>133350</xdr:rowOff>
    </xdr:to>
    <xdr:sp macro="" textlink="">
      <xdr:nvSpPr>
        <xdr:cNvPr id="31405" name="직사각형 31404"/>
        <xdr:cNvSpPr/>
      </xdr:nvSpPr>
      <xdr:spPr>
        <a:xfrm>
          <a:off x="8973094" y="26022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103414</xdr:colOff>
      <xdr:row>16</xdr:row>
      <xdr:rowOff>76200</xdr:rowOff>
    </xdr:from>
    <xdr:to>
      <xdr:col>30</xdr:col>
      <xdr:colOff>103414</xdr:colOff>
      <xdr:row>16</xdr:row>
      <xdr:rowOff>76200</xdr:rowOff>
    </xdr:to>
    <xdr:cxnSp macro="">
      <xdr:nvCxnSpPr>
        <xdr:cNvPr id="31406" name="직선 화살표 연결선 31405"/>
        <xdr:cNvCxnSpPr/>
      </xdr:nvCxnSpPr>
      <xdr:spPr>
        <a:xfrm>
          <a:off x="8973094"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15</xdr:row>
      <xdr:rowOff>19050</xdr:rowOff>
    </xdr:from>
    <xdr:to>
      <xdr:col>31</xdr:col>
      <xdr:colOff>124097</xdr:colOff>
      <xdr:row>15</xdr:row>
      <xdr:rowOff>133350</xdr:rowOff>
    </xdr:to>
    <xdr:sp macro="" textlink="">
      <xdr:nvSpPr>
        <xdr:cNvPr id="31407" name="직사각형 31406"/>
        <xdr:cNvSpPr/>
      </xdr:nvSpPr>
      <xdr:spPr>
        <a:xfrm>
          <a:off x="8890363" y="24498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15</xdr:row>
      <xdr:rowOff>76200</xdr:rowOff>
    </xdr:from>
    <xdr:to>
      <xdr:col>30</xdr:col>
      <xdr:colOff>20683</xdr:colOff>
      <xdr:row>15</xdr:row>
      <xdr:rowOff>76200</xdr:rowOff>
    </xdr:to>
    <xdr:cxnSp macro="">
      <xdr:nvCxnSpPr>
        <xdr:cNvPr id="31408" name="직선 화살표 연결선 31407"/>
        <xdr:cNvCxnSpPr/>
      </xdr:nvCxnSpPr>
      <xdr:spPr>
        <a:xfrm>
          <a:off x="8890363"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14</xdr:row>
      <xdr:rowOff>19050</xdr:rowOff>
    </xdr:from>
    <xdr:to>
      <xdr:col>31</xdr:col>
      <xdr:colOff>124097</xdr:colOff>
      <xdr:row>14</xdr:row>
      <xdr:rowOff>133350</xdr:rowOff>
    </xdr:to>
    <xdr:sp macro="" textlink="">
      <xdr:nvSpPr>
        <xdr:cNvPr id="31409" name="직사각형 31408"/>
        <xdr:cNvSpPr/>
      </xdr:nvSpPr>
      <xdr:spPr>
        <a:xfrm>
          <a:off x="8890363" y="22974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14</xdr:row>
      <xdr:rowOff>76200</xdr:rowOff>
    </xdr:from>
    <xdr:to>
      <xdr:col>30</xdr:col>
      <xdr:colOff>20683</xdr:colOff>
      <xdr:row>14</xdr:row>
      <xdr:rowOff>76200</xdr:rowOff>
    </xdr:to>
    <xdr:cxnSp macro="">
      <xdr:nvCxnSpPr>
        <xdr:cNvPr id="31410" name="직선 화살표 연결선 31409"/>
        <xdr:cNvCxnSpPr/>
      </xdr:nvCxnSpPr>
      <xdr:spPr>
        <a:xfrm>
          <a:off x="889036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13</xdr:row>
      <xdr:rowOff>19050</xdr:rowOff>
    </xdr:from>
    <xdr:to>
      <xdr:col>30</xdr:col>
      <xdr:colOff>124097</xdr:colOff>
      <xdr:row>13</xdr:row>
      <xdr:rowOff>133350</xdr:rowOff>
    </xdr:to>
    <xdr:sp macro="" textlink="">
      <xdr:nvSpPr>
        <xdr:cNvPr id="31411" name="직사각형 31410"/>
        <xdr:cNvSpPr/>
      </xdr:nvSpPr>
      <xdr:spPr>
        <a:xfrm>
          <a:off x="8890363" y="2145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13</xdr:row>
      <xdr:rowOff>76200</xdr:rowOff>
    </xdr:from>
    <xdr:to>
      <xdr:col>30</xdr:col>
      <xdr:colOff>113756</xdr:colOff>
      <xdr:row>13</xdr:row>
      <xdr:rowOff>76200</xdr:rowOff>
    </xdr:to>
    <xdr:cxnSp macro="">
      <xdr:nvCxnSpPr>
        <xdr:cNvPr id="31412" name="직선 화살표 연결선 31411"/>
        <xdr:cNvCxnSpPr/>
      </xdr:nvCxnSpPr>
      <xdr:spPr>
        <a:xfrm>
          <a:off x="8890363" y="2202180"/>
          <a:ext cx="930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12</xdr:row>
      <xdr:rowOff>19050</xdr:rowOff>
    </xdr:from>
    <xdr:to>
      <xdr:col>32</xdr:col>
      <xdr:colOff>124097</xdr:colOff>
      <xdr:row>12</xdr:row>
      <xdr:rowOff>133350</xdr:rowOff>
    </xdr:to>
    <xdr:sp macro="" textlink="">
      <xdr:nvSpPr>
        <xdr:cNvPr id="31413" name="직사각형 31412"/>
        <xdr:cNvSpPr/>
      </xdr:nvSpPr>
      <xdr:spPr>
        <a:xfrm>
          <a:off x="8745583" y="1992630"/>
          <a:ext cx="5377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12</xdr:row>
      <xdr:rowOff>76200</xdr:rowOff>
    </xdr:from>
    <xdr:to>
      <xdr:col>29</xdr:col>
      <xdr:colOff>110309</xdr:colOff>
      <xdr:row>12</xdr:row>
      <xdr:rowOff>76200</xdr:rowOff>
    </xdr:to>
    <xdr:cxnSp macro="">
      <xdr:nvCxnSpPr>
        <xdr:cNvPr id="31414" name="직선 화살표 연결선 31413"/>
        <xdr:cNvCxnSpPr/>
      </xdr:nvCxnSpPr>
      <xdr:spPr>
        <a:xfrm>
          <a:off x="8745583" y="2049780"/>
          <a:ext cx="896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10</xdr:row>
      <xdr:rowOff>19050</xdr:rowOff>
    </xdr:from>
    <xdr:to>
      <xdr:col>30</xdr:col>
      <xdr:colOff>41366</xdr:colOff>
      <xdr:row>10</xdr:row>
      <xdr:rowOff>133350</xdr:rowOff>
    </xdr:to>
    <xdr:sp macro="" textlink="">
      <xdr:nvSpPr>
        <xdr:cNvPr id="31415" name="직사각형 31414"/>
        <xdr:cNvSpPr/>
      </xdr:nvSpPr>
      <xdr:spPr>
        <a:xfrm>
          <a:off x="8786949" y="16878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10</xdr:row>
      <xdr:rowOff>76200</xdr:rowOff>
    </xdr:from>
    <xdr:to>
      <xdr:col>30</xdr:col>
      <xdr:colOff>41366</xdr:colOff>
      <xdr:row>10</xdr:row>
      <xdr:rowOff>76200</xdr:rowOff>
    </xdr:to>
    <xdr:cxnSp macro="">
      <xdr:nvCxnSpPr>
        <xdr:cNvPr id="31416" name="직선 화살표 연결선 31415"/>
        <xdr:cNvCxnSpPr/>
      </xdr:nvCxnSpPr>
      <xdr:spPr>
        <a:xfrm>
          <a:off x="8786949" y="17449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9</xdr:row>
      <xdr:rowOff>19050</xdr:rowOff>
    </xdr:from>
    <xdr:to>
      <xdr:col>30</xdr:col>
      <xdr:colOff>41366</xdr:colOff>
      <xdr:row>9</xdr:row>
      <xdr:rowOff>133350</xdr:rowOff>
    </xdr:to>
    <xdr:sp macro="" textlink="">
      <xdr:nvSpPr>
        <xdr:cNvPr id="31417" name="직사각형 31416"/>
        <xdr:cNvSpPr/>
      </xdr:nvSpPr>
      <xdr:spPr>
        <a:xfrm>
          <a:off x="8786949" y="15354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9</xdr:row>
      <xdr:rowOff>76200</xdr:rowOff>
    </xdr:from>
    <xdr:to>
      <xdr:col>30</xdr:col>
      <xdr:colOff>41366</xdr:colOff>
      <xdr:row>9</xdr:row>
      <xdr:rowOff>76200</xdr:rowOff>
    </xdr:to>
    <xdr:cxnSp macro="">
      <xdr:nvCxnSpPr>
        <xdr:cNvPr id="31418" name="직선 화살표 연결선 31417"/>
        <xdr:cNvCxnSpPr/>
      </xdr:nvCxnSpPr>
      <xdr:spPr>
        <a:xfrm>
          <a:off x="8786949" y="15925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8</xdr:row>
      <xdr:rowOff>19050</xdr:rowOff>
    </xdr:from>
    <xdr:to>
      <xdr:col>30</xdr:col>
      <xdr:colOff>41366</xdr:colOff>
      <xdr:row>8</xdr:row>
      <xdr:rowOff>133350</xdr:rowOff>
    </xdr:to>
    <xdr:sp macro="" textlink="">
      <xdr:nvSpPr>
        <xdr:cNvPr id="31419" name="직사각형 31418"/>
        <xdr:cNvSpPr/>
      </xdr:nvSpPr>
      <xdr:spPr>
        <a:xfrm>
          <a:off x="8786949" y="138303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8</xdr:row>
      <xdr:rowOff>76200</xdr:rowOff>
    </xdr:from>
    <xdr:to>
      <xdr:col>30</xdr:col>
      <xdr:colOff>41366</xdr:colOff>
      <xdr:row>8</xdr:row>
      <xdr:rowOff>76200</xdr:rowOff>
    </xdr:to>
    <xdr:cxnSp macro="">
      <xdr:nvCxnSpPr>
        <xdr:cNvPr id="31420" name="직선 화살표 연결선 31419"/>
        <xdr:cNvCxnSpPr/>
      </xdr:nvCxnSpPr>
      <xdr:spPr>
        <a:xfrm>
          <a:off x="8786949" y="1440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7</xdr:row>
      <xdr:rowOff>19050</xdr:rowOff>
    </xdr:from>
    <xdr:to>
      <xdr:col>42</xdr:col>
      <xdr:colOff>124097</xdr:colOff>
      <xdr:row>7</xdr:row>
      <xdr:rowOff>133350</xdr:rowOff>
    </xdr:to>
    <xdr:sp macro="" textlink="">
      <xdr:nvSpPr>
        <xdr:cNvPr id="31421" name="직사각형 31420"/>
        <xdr:cNvSpPr/>
      </xdr:nvSpPr>
      <xdr:spPr>
        <a:xfrm>
          <a:off x="8745583" y="1230630"/>
          <a:ext cx="1985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7</xdr:row>
      <xdr:rowOff>76200</xdr:rowOff>
    </xdr:from>
    <xdr:to>
      <xdr:col>31</xdr:col>
      <xdr:colOff>102868</xdr:colOff>
      <xdr:row>7</xdr:row>
      <xdr:rowOff>76200</xdr:rowOff>
    </xdr:to>
    <xdr:cxnSp macro="">
      <xdr:nvCxnSpPr>
        <xdr:cNvPr id="31422" name="직선 화살표 연결선 31421"/>
        <xdr:cNvCxnSpPr/>
      </xdr:nvCxnSpPr>
      <xdr:spPr>
        <a:xfrm>
          <a:off x="8745583" y="1287780"/>
          <a:ext cx="3717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5</xdr:row>
      <xdr:rowOff>19050</xdr:rowOff>
    </xdr:from>
    <xdr:to>
      <xdr:col>30</xdr:col>
      <xdr:colOff>41366</xdr:colOff>
      <xdr:row>5</xdr:row>
      <xdr:rowOff>133350</xdr:rowOff>
    </xdr:to>
    <xdr:sp macro="" textlink="">
      <xdr:nvSpPr>
        <xdr:cNvPr id="31423" name="직사각형 31422"/>
        <xdr:cNvSpPr/>
      </xdr:nvSpPr>
      <xdr:spPr>
        <a:xfrm>
          <a:off x="8600803" y="925830"/>
          <a:ext cx="31024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5</xdr:row>
      <xdr:rowOff>76200</xdr:rowOff>
    </xdr:from>
    <xdr:to>
      <xdr:col>30</xdr:col>
      <xdr:colOff>41366</xdr:colOff>
      <xdr:row>5</xdr:row>
      <xdr:rowOff>76200</xdr:rowOff>
    </xdr:to>
    <xdr:cxnSp macro="">
      <xdr:nvCxnSpPr>
        <xdr:cNvPr id="31424" name="직선 화살표 연결선 31423"/>
        <xdr:cNvCxnSpPr/>
      </xdr:nvCxnSpPr>
      <xdr:spPr>
        <a:xfrm>
          <a:off x="8600803" y="9829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4</xdr:row>
      <xdr:rowOff>19050</xdr:rowOff>
    </xdr:from>
    <xdr:to>
      <xdr:col>30</xdr:col>
      <xdr:colOff>41366</xdr:colOff>
      <xdr:row>4</xdr:row>
      <xdr:rowOff>133350</xdr:rowOff>
    </xdr:to>
    <xdr:sp macro="" textlink="">
      <xdr:nvSpPr>
        <xdr:cNvPr id="31425" name="직사각형 31424"/>
        <xdr:cNvSpPr/>
      </xdr:nvSpPr>
      <xdr:spPr>
        <a:xfrm>
          <a:off x="8600803" y="773430"/>
          <a:ext cx="3102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4</xdr:row>
      <xdr:rowOff>76200</xdr:rowOff>
    </xdr:from>
    <xdr:to>
      <xdr:col>30</xdr:col>
      <xdr:colOff>41366</xdr:colOff>
      <xdr:row>4</xdr:row>
      <xdr:rowOff>76200</xdr:rowOff>
    </xdr:to>
    <xdr:cxnSp macro="">
      <xdr:nvCxnSpPr>
        <xdr:cNvPr id="31426" name="직선 화살표 연결선 31425"/>
        <xdr:cNvCxnSpPr/>
      </xdr:nvCxnSpPr>
      <xdr:spPr>
        <a:xfrm>
          <a:off x="8600803" y="8305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4</v>
      </c>
      <c r="B1" s="98" t="s">
        <v>5</v>
      </c>
      <c r="C1" s="98" t="s">
        <v>6</v>
      </c>
      <c r="D1" s="98" t="s">
        <v>7</v>
      </c>
      <c r="E1" s="98" t="s">
        <v>8</v>
      </c>
      <c r="F1" s="98" t="s">
        <v>9</v>
      </c>
    </row>
    <row r="2" spans="1:64">
      <c r="A2" s="100" t="s">
        <v>10</v>
      </c>
      <c r="B2" s="101" t="s">
        <v>11</v>
      </c>
      <c r="C2" s="101"/>
      <c r="D2" s="101"/>
      <c r="E2" s="101" t="s">
        <v>12</v>
      </c>
      <c r="F2" s="101"/>
    </row>
    <row r="3" spans="1:64">
      <c r="A3" s="100" t="s">
        <v>398</v>
      </c>
      <c r="B3" s="101" t="s">
        <v>11</v>
      </c>
      <c r="C3" s="101"/>
      <c r="D3" s="101"/>
      <c r="E3" s="101" t="s">
        <v>12</v>
      </c>
      <c r="F3" s="101"/>
    </row>
    <row r="4" spans="1:64">
      <c r="A4" s="100" t="s">
        <v>13</v>
      </c>
      <c r="B4" s="111" t="s">
        <v>399</v>
      </c>
      <c r="C4" s="101"/>
      <c r="D4" s="101"/>
      <c r="E4" s="101" t="s">
        <v>12</v>
      </c>
      <c r="F4" s="101"/>
    </row>
    <row r="5" spans="1:64">
      <c r="A5" s="100" t="s">
        <v>14</v>
      </c>
      <c r="B5" s="101" t="s">
        <v>15</v>
      </c>
      <c r="C5" s="101"/>
      <c r="D5" s="101"/>
      <c r="E5" s="101" t="s">
        <v>12</v>
      </c>
      <c r="F5" s="101"/>
    </row>
    <row r="6" spans="1:64">
      <c r="A6" s="100" t="s">
        <v>16</v>
      </c>
      <c r="B6" s="111" t="s">
        <v>17</v>
      </c>
      <c r="C6" s="101"/>
      <c r="D6" s="101"/>
      <c r="E6" s="101" t="s">
        <v>12</v>
      </c>
      <c r="F6" s="101"/>
    </row>
    <row r="7" spans="1:64">
      <c r="A7" s="100" t="s">
        <v>18</v>
      </c>
      <c r="B7" s="100" t="s">
        <v>11</v>
      </c>
      <c r="C7" s="101"/>
      <c r="D7" s="101"/>
      <c r="E7" s="101" t="s">
        <v>12</v>
      </c>
      <c r="F7" s="101"/>
    </row>
    <row r="8" spans="1:64">
      <c r="A8" s="100" t="s">
        <v>19</v>
      </c>
      <c r="B8" s="103" t="s">
        <v>954</v>
      </c>
      <c r="C8" s="101" t="s">
        <v>1024</v>
      </c>
      <c r="D8" s="101">
        <v>82</v>
      </c>
      <c r="E8" s="101" t="s">
        <v>20</v>
      </c>
      <c r="F8" s="101"/>
    </row>
    <row r="9" spans="1:64">
      <c r="A9" s="100" t="s">
        <v>21</v>
      </c>
      <c r="B9" s="104">
        <v>43387</v>
      </c>
      <c r="C9" s="101"/>
      <c r="D9" s="101"/>
      <c r="E9" s="101" t="s">
        <v>12</v>
      </c>
      <c r="F9" s="101"/>
    </row>
    <row r="10" spans="1:64">
      <c r="A10" s="105" t="s">
        <v>22</v>
      </c>
      <c r="B10" s="106" t="s">
        <v>23</v>
      </c>
      <c r="C10" s="106"/>
      <c r="D10" s="106"/>
      <c r="E10" s="106" t="s">
        <v>12</v>
      </c>
      <c r="F10" s="106"/>
    </row>
    <row r="11" spans="1:64">
      <c r="A11" s="102" t="s">
        <v>400</v>
      </c>
      <c r="B11" s="107" t="s">
        <v>24</v>
      </c>
      <c r="C11" s="99" t="s">
        <v>1185</v>
      </c>
      <c r="D11" s="99" t="s">
        <v>25</v>
      </c>
      <c r="E11" s="108">
        <v>1</v>
      </c>
      <c r="F11" s="109" t="s">
        <v>26</v>
      </c>
      <c r="G11" s="110">
        <v>43521</v>
      </c>
      <c r="H11" s="109" t="s">
        <v>27</v>
      </c>
      <c r="I11" s="110">
        <v>43637</v>
      </c>
      <c r="J11" s="102" t="s">
        <v>417</v>
      </c>
      <c r="K11" s="102" t="s">
        <v>1097</v>
      </c>
      <c r="L11" s="102" t="s">
        <v>414</v>
      </c>
      <c r="M11" s="102">
        <v>0</v>
      </c>
      <c r="N11" s="107" t="s">
        <v>28</v>
      </c>
      <c r="O11" s="99">
        <v>0</v>
      </c>
      <c r="P11" s="99" t="s">
        <v>29</v>
      </c>
      <c r="Q11" s="107" t="s">
        <v>1186</v>
      </c>
      <c r="R11" s="102" t="s">
        <v>419</v>
      </c>
      <c r="S11" s="102">
        <v>1</v>
      </c>
      <c r="T11" s="102" t="s">
        <v>424</v>
      </c>
      <c r="U11" s="102">
        <v>1</v>
      </c>
      <c r="V11" s="102" t="s">
        <v>425</v>
      </c>
      <c r="W11" s="102">
        <v>0</v>
      </c>
      <c r="X11" s="102" t="s">
        <v>428</v>
      </c>
      <c r="Y11" s="102">
        <v>1</v>
      </c>
    </row>
    <row r="12" spans="1:64">
      <c r="A12" s="102" t="s">
        <v>403</v>
      </c>
      <c r="B12" s="102" t="s">
        <v>404</v>
      </c>
      <c r="C12" s="102">
        <v>1</v>
      </c>
      <c r="D12" s="102" t="s">
        <v>405</v>
      </c>
      <c r="E12" s="102">
        <v>1</v>
      </c>
      <c r="F12" s="102" t="s">
        <v>406</v>
      </c>
      <c r="G12" s="102">
        <v>0</v>
      </c>
      <c r="H12" s="102" t="s">
        <v>407</v>
      </c>
      <c r="I12" s="102">
        <v>1</v>
      </c>
      <c r="J12" s="102" t="s">
        <v>408</v>
      </c>
      <c r="K12" s="102">
        <v>0.7</v>
      </c>
      <c r="L12" s="102" t="s">
        <v>409</v>
      </c>
      <c r="M12" s="102">
        <v>2</v>
      </c>
      <c r="N12" s="102" t="s">
        <v>410</v>
      </c>
      <c r="O12" s="102">
        <v>1</v>
      </c>
      <c r="P12" s="102" t="s">
        <v>413</v>
      </c>
      <c r="Q12" s="102">
        <v>1</v>
      </c>
      <c r="R12" s="102" t="s">
        <v>420</v>
      </c>
      <c r="S12" s="102">
        <v>7</v>
      </c>
      <c r="T12" s="102" t="s">
        <v>421</v>
      </c>
      <c r="U12" s="102">
        <v>0</v>
      </c>
      <c r="V12" s="102" t="s">
        <v>422</v>
      </c>
      <c r="W12" s="102">
        <v>100</v>
      </c>
      <c r="X12" s="102" t="s">
        <v>423</v>
      </c>
      <c r="Y12" s="102">
        <v>0</v>
      </c>
      <c r="Z12" s="102" t="s">
        <v>426</v>
      </c>
      <c r="AA12" s="102">
        <v>1</v>
      </c>
      <c r="AB12" s="102" t="s">
        <v>427</v>
      </c>
      <c r="AC12" s="102">
        <v>1</v>
      </c>
      <c r="AD12" s="102" t="s">
        <v>952</v>
      </c>
      <c r="AE12" s="102">
        <v>1</v>
      </c>
    </row>
    <row r="13" spans="1:64">
      <c r="A13" s="101" t="s">
        <v>401</v>
      </c>
      <c r="B13" s="107" t="s">
        <v>30</v>
      </c>
      <c r="C13" s="99">
        <v>1</v>
      </c>
      <c r="D13" s="107" t="s">
        <v>31</v>
      </c>
      <c r="E13" s="99" t="s">
        <v>1187</v>
      </c>
      <c r="F13" s="99" t="s">
        <v>32</v>
      </c>
      <c r="G13" s="109" t="s">
        <v>966</v>
      </c>
      <c r="H13" s="109" t="s">
        <v>33</v>
      </c>
      <c r="I13" s="102" t="s">
        <v>966</v>
      </c>
    </row>
    <row r="14" spans="1:64">
      <c r="A14" s="101" t="s">
        <v>402</v>
      </c>
      <c r="B14" s="108" t="s">
        <v>34</v>
      </c>
      <c r="C14" s="108" t="s">
        <v>1188</v>
      </c>
      <c r="D14" s="108" t="s">
        <v>35</v>
      </c>
      <c r="E14" s="108" t="s">
        <v>1189</v>
      </c>
      <c r="F14" s="108" t="s">
        <v>36</v>
      </c>
      <c r="G14" s="108" t="s">
        <v>1011</v>
      </c>
      <c r="H14" s="108" t="s">
        <v>37</v>
      </c>
      <c r="I14" s="108" t="b">
        <v>0</v>
      </c>
      <c r="J14" s="108" t="s">
        <v>38</v>
      </c>
      <c r="K14" s="108" t="s">
        <v>1018</v>
      </c>
      <c r="L14" s="108" t="s">
        <v>39</v>
      </c>
      <c r="M14" s="108" t="s">
        <v>1190</v>
      </c>
      <c r="N14" s="108" t="s">
        <v>40</v>
      </c>
      <c r="O14" s="108" t="s">
        <v>1011</v>
      </c>
      <c r="P14" s="108" t="s">
        <v>41</v>
      </c>
      <c r="Q14" s="108" t="b">
        <v>0</v>
      </c>
      <c r="R14" s="108" t="s">
        <v>42</v>
      </c>
      <c r="S14" s="108" t="s">
        <v>1050</v>
      </c>
      <c r="T14" s="108" t="s">
        <v>43</v>
      </c>
      <c r="U14" s="108" t="s">
        <v>1191</v>
      </c>
      <c r="V14" s="108" t="s">
        <v>44</v>
      </c>
      <c r="W14" s="108" t="s">
        <v>1192</v>
      </c>
      <c r="X14" s="108" t="s">
        <v>45</v>
      </c>
      <c r="Y14" s="108" t="b">
        <v>1</v>
      </c>
      <c r="Z14" s="108" t="s">
        <v>46</v>
      </c>
      <c r="AA14" s="108" t="s">
        <v>1193</v>
      </c>
      <c r="AB14" s="108" t="s">
        <v>47</v>
      </c>
      <c r="AC14" s="108" t="s">
        <v>1019</v>
      </c>
      <c r="AD14" s="108" t="s">
        <v>48</v>
      </c>
      <c r="AE14" s="108" t="s">
        <v>1051</v>
      </c>
      <c r="AF14" s="108" t="s">
        <v>49</v>
      </c>
      <c r="AG14" s="108" t="b">
        <v>1</v>
      </c>
      <c r="AH14" s="108" t="s">
        <v>50</v>
      </c>
      <c r="AI14" s="108" t="s">
        <v>1013</v>
      </c>
      <c r="AJ14" s="108" t="s">
        <v>51</v>
      </c>
      <c r="AK14" s="108" t="s">
        <v>981</v>
      </c>
      <c r="AL14" s="108" t="s">
        <v>52</v>
      </c>
      <c r="AM14" s="108" t="s">
        <v>1194</v>
      </c>
      <c r="AN14" s="108" t="s">
        <v>53</v>
      </c>
      <c r="AO14" s="108" t="b">
        <v>0</v>
      </c>
      <c r="AP14" s="108" t="s">
        <v>54</v>
      </c>
      <c r="AQ14" s="108" t="s">
        <v>979</v>
      </c>
      <c r="AR14" s="108" t="s">
        <v>55</v>
      </c>
      <c r="AS14" s="108" t="s">
        <v>1052</v>
      </c>
      <c r="AT14" s="108" t="s">
        <v>56</v>
      </c>
      <c r="AU14" s="108" t="s">
        <v>1014</v>
      </c>
      <c r="AV14" s="108" t="s">
        <v>57</v>
      </c>
      <c r="AW14" s="108" t="b">
        <v>1</v>
      </c>
      <c r="AX14" s="102" t="s">
        <v>58</v>
      </c>
      <c r="AZ14" s="102" t="s">
        <v>59</v>
      </c>
      <c r="BB14" s="102" t="s">
        <v>60</v>
      </c>
      <c r="BD14" s="102" t="s">
        <v>61</v>
      </c>
      <c r="BF14" s="102" t="s">
        <v>62</v>
      </c>
      <c r="BH14" s="102" t="s">
        <v>63</v>
      </c>
      <c r="BJ14" s="102" t="s">
        <v>64</v>
      </c>
      <c r="BL14" s="102" t="s">
        <v>65</v>
      </c>
    </row>
    <row r="15" spans="1:64">
      <c r="A15" s="101" t="s">
        <v>418</v>
      </c>
      <c r="B15" s="102" t="s">
        <v>411</v>
      </c>
      <c r="C15" s="102">
        <v>0</v>
      </c>
      <c r="D15" s="102" t="s">
        <v>412</v>
      </c>
      <c r="E15" s="102">
        <v>1</v>
      </c>
      <c r="F15" s="102" t="s">
        <v>415</v>
      </c>
      <c r="G15" s="102" t="s">
        <v>982</v>
      </c>
      <c r="H15" s="102" t="s">
        <v>416</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898</v>
      </c>
      <c r="B1" s="124" t="s">
        <v>899</v>
      </c>
      <c r="C1" s="125" t="s">
        <v>900</v>
      </c>
      <c r="D1" s="125" t="s">
        <v>66</v>
      </c>
      <c r="E1" s="125" t="s">
        <v>67</v>
      </c>
    </row>
    <row r="2" spans="1:5" ht="79.2">
      <c r="A2" s="126" t="s">
        <v>1053</v>
      </c>
      <c r="B2" s="139">
        <v>1</v>
      </c>
      <c r="D2" s="127" t="s">
        <v>901</v>
      </c>
      <c r="E2" s="140" t="s">
        <v>587</v>
      </c>
    </row>
    <row r="3" spans="1:5" ht="112.5" customHeight="1">
      <c r="A3" s="128">
        <v>450</v>
      </c>
      <c r="B3" s="139">
        <v>2</v>
      </c>
      <c r="D3" s="127" t="s">
        <v>514</v>
      </c>
      <c r="E3" s="140" t="s">
        <v>902</v>
      </c>
    </row>
    <row r="4" spans="1:5" ht="52.8">
      <c r="B4" s="139">
        <v>3</v>
      </c>
      <c r="D4" s="127" t="s">
        <v>903</v>
      </c>
      <c r="E4" s="140" t="s">
        <v>588</v>
      </c>
    </row>
    <row r="5" spans="1:5" ht="52.8">
      <c r="B5" s="139">
        <v>4</v>
      </c>
      <c r="D5" s="127" t="s">
        <v>904</v>
      </c>
      <c r="E5" s="140" t="s">
        <v>589</v>
      </c>
    </row>
    <row r="6" spans="1:5" ht="52.8">
      <c r="B6" s="139">
        <v>5</v>
      </c>
      <c r="D6" s="127" t="s">
        <v>905</v>
      </c>
      <c r="E6" s="140" t="s">
        <v>590</v>
      </c>
    </row>
    <row r="7" spans="1:5" ht="39.6">
      <c r="B7" s="139">
        <v>6</v>
      </c>
      <c r="D7" s="127" t="s">
        <v>906</v>
      </c>
      <c r="E7" s="140" t="s">
        <v>591</v>
      </c>
    </row>
    <row r="8" spans="1:5">
      <c r="B8" s="139">
        <v>7</v>
      </c>
      <c r="D8" s="127" t="s">
        <v>892</v>
      </c>
      <c r="E8" s="140" t="s">
        <v>907</v>
      </c>
    </row>
    <row r="9" spans="1:5">
      <c r="B9" s="139">
        <v>101</v>
      </c>
      <c r="D9" s="127" t="s">
        <v>68</v>
      </c>
      <c r="E9" s="140" t="s">
        <v>592</v>
      </c>
    </row>
    <row r="10" spans="1:5">
      <c r="B10" s="139">
        <v>102</v>
      </c>
      <c r="D10" s="127" t="s">
        <v>69</v>
      </c>
      <c r="E10" s="140" t="s">
        <v>593</v>
      </c>
    </row>
    <row r="11" spans="1:5">
      <c r="B11" s="139">
        <v>103</v>
      </c>
      <c r="D11" s="127" t="s">
        <v>70</v>
      </c>
      <c r="E11" s="140" t="s">
        <v>594</v>
      </c>
    </row>
    <row r="12" spans="1:5">
      <c r="B12" s="139">
        <v>104</v>
      </c>
      <c r="D12" s="127" t="s">
        <v>71</v>
      </c>
      <c r="E12" s="140" t="s">
        <v>595</v>
      </c>
    </row>
    <row r="13" spans="1:5">
      <c r="B13" s="139">
        <v>105</v>
      </c>
      <c r="D13" s="127" t="s">
        <v>72</v>
      </c>
      <c r="E13" s="140" t="s">
        <v>596</v>
      </c>
    </row>
    <row r="14" spans="1:5">
      <c r="B14" s="139">
        <v>106</v>
      </c>
      <c r="D14" s="127" t="s">
        <v>432</v>
      </c>
      <c r="E14" s="140" t="s">
        <v>597</v>
      </c>
    </row>
    <row r="15" spans="1:5" ht="26.4">
      <c r="B15" s="139">
        <v>107</v>
      </c>
      <c r="D15" s="127" t="s">
        <v>433</v>
      </c>
      <c r="E15" s="140" t="s">
        <v>598</v>
      </c>
    </row>
    <row r="16" spans="1:5" ht="39.6">
      <c r="B16" s="139">
        <v>108</v>
      </c>
      <c r="D16" s="127" t="s">
        <v>434</v>
      </c>
      <c r="E16" s="140" t="s">
        <v>599</v>
      </c>
    </row>
    <row r="17" spans="1:6">
      <c r="B17" s="139">
        <v>109</v>
      </c>
      <c r="D17" s="127" t="s">
        <v>73</v>
      </c>
      <c r="E17" s="140" t="s">
        <v>517</v>
      </c>
    </row>
    <row r="18" spans="1:6">
      <c r="B18" s="139">
        <v>110</v>
      </c>
      <c r="D18" s="127" t="s">
        <v>74</v>
      </c>
      <c r="E18" s="140" t="s">
        <v>600</v>
      </c>
    </row>
    <row r="19" spans="1:6">
      <c r="B19" s="139">
        <v>111</v>
      </c>
      <c r="D19" s="127" t="s">
        <v>75</v>
      </c>
      <c r="E19" s="140" t="s">
        <v>601</v>
      </c>
    </row>
    <row r="20" spans="1:6">
      <c r="A20" s="129"/>
      <c r="B20" s="139">
        <v>112</v>
      </c>
      <c r="C20" s="138" t="s">
        <v>908</v>
      </c>
      <c r="D20" s="128" t="s">
        <v>909</v>
      </c>
      <c r="E20" s="128" t="s">
        <v>515</v>
      </c>
      <c r="F20" s="130"/>
    </row>
    <row r="21" spans="1:6">
      <c r="B21" s="139">
        <v>113</v>
      </c>
      <c r="D21" s="127" t="s">
        <v>76</v>
      </c>
      <c r="E21" s="140" t="s">
        <v>518</v>
      </c>
    </row>
    <row r="22" spans="1:6">
      <c r="B22" s="139">
        <v>114</v>
      </c>
      <c r="D22" s="127" t="s">
        <v>77</v>
      </c>
      <c r="E22" s="140" t="s">
        <v>602</v>
      </c>
    </row>
    <row r="23" spans="1:6">
      <c r="B23" s="139">
        <v>115</v>
      </c>
      <c r="D23" s="127" t="s">
        <v>78</v>
      </c>
      <c r="E23" s="140" t="s">
        <v>603</v>
      </c>
    </row>
    <row r="24" spans="1:6" ht="26.4">
      <c r="B24" s="139">
        <v>116</v>
      </c>
      <c r="D24" s="127" t="s">
        <v>435</v>
      </c>
      <c r="E24" s="140" t="s">
        <v>604</v>
      </c>
    </row>
    <row r="25" spans="1:6">
      <c r="B25" s="139">
        <v>117</v>
      </c>
      <c r="D25" s="127" t="s">
        <v>436</v>
      </c>
      <c r="E25" s="140" t="s">
        <v>605</v>
      </c>
    </row>
    <row r="26" spans="1:6" ht="26.4">
      <c r="B26" s="139">
        <v>118</v>
      </c>
      <c r="D26" s="127" t="s">
        <v>79</v>
      </c>
      <c r="E26" s="140" t="s">
        <v>606</v>
      </c>
    </row>
    <row r="27" spans="1:6">
      <c r="B27" s="139">
        <v>119</v>
      </c>
      <c r="D27" s="127" t="s">
        <v>80</v>
      </c>
      <c r="E27" s="140" t="s">
        <v>607</v>
      </c>
    </row>
    <row r="28" spans="1:6">
      <c r="B28" s="139">
        <v>120</v>
      </c>
      <c r="D28" s="127" t="s">
        <v>430</v>
      </c>
      <c r="E28" s="140" t="s">
        <v>608</v>
      </c>
    </row>
    <row r="29" spans="1:6">
      <c r="B29" s="139">
        <v>121</v>
      </c>
      <c r="D29" s="127" t="s">
        <v>81</v>
      </c>
      <c r="E29" s="140" t="s">
        <v>609</v>
      </c>
    </row>
    <row r="30" spans="1:6">
      <c r="B30" s="139">
        <v>122</v>
      </c>
      <c r="D30" s="127" t="s">
        <v>82</v>
      </c>
      <c r="E30" s="140" t="s">
        <v>610</v>
      </c>
    </row>
    <row r="31" spans="1:6">
      <c r="B31" s="139">
        <v>123</v>
      </c>
      <c r="D31" s="127" t="s">
        <v>83</v>
      </c>
      <c r="E31" s="140" t="s">
        <v>611</v>
      </c>
    </row>
    <row r="32" spans="1:6">
      <c r="B32" s="139">
        <v>124</v>
      </c>
      <c r="D32" s="127" t="s">
        <v>84</v>
      </c>
      <c r="E32" s="140" t="s">
        <v>612</v>
      </c>
    </row>
    <row r="33" spans="2:5" ht="26.4">
      <c r="B33" s="139">
        <v>125</v>
      </c>
      <c r="D33" s="127" t="s">
        <v>431</v>
      </c>
      <c r="E33" s="140" t="s">
        <v>613</v>
      </c>
    </row>
    <row r="34" spans="2:5">
      <c r="B34" s="139">
        <v>126</v>
      </c>
      <c r="D34" s="127" t="s">
        <v>85</v>
      </c>
      <c r="E34" s="140" t="s">
        <v>614</v>
      </c>
    </row>
    <row r="35" spans="2:5">
      <c r="B35" s="139">
        <v>127</v>
      </c>
      <c r="D35" s="127" t="s">
        <v>86</v>
      </c>
      <c r="E35" s="140" t="s">
        <v>615</v>
      </c>
    </row>
    <row r="36" spans="2:5">
      <c r="B36" s="139">
        <v>128</v>
      </c>
      <c r="D36" s="127" t="s">
        <v>437</v>
      </c>
      <c r="E36" s="140" t="s">
        <v>616</v>
      </c>
    </row>
    <row r="37" spans="2:5">
      <c r="B37" s="139">
        <v>129</v>
      </c>
      <c r="D37" s="127" t="s">
        <v>87</v>
      </c>
      <c r="E37" s="140" t="s">
        <v>617</v>
      </c>
    </row>
    <row r="38" spans="2:5">
      <c r="B38" s="139">
        <v>130</v>
      </c>
      <c r="D38" s="127" t="s">
        <v>88</v>
      </c>
      <c r="E38" s="140" t="s">
        <v>519</v>
      </c>
    </row>
    <row r="39" spans="2:5">
      <c r="B39" s="139">
        <v>131</v>
      </c>
      <c r="D39" s="127" t="s">
        <v>89</v>
      </c>
      <c r="E39" s="140" t="s">
        <v>520</v>
      </c>
    </row>
    <row r="40" spans="2:5">
      <c r="B40" s="139">
        <v>132</v>
      </c>
      <c r="D40" s="132" t="s">
        <v>438</v>
      </c>
      <c r="E40" s="133">
        <v>43435</v>
      </c>
    </row>
    <row r="41" spans="2:5">
      <c r="B41" s="139">
        <v>133</v>
      </c>
      <c r="D41" s="132" t="s">
        <v>438</v>
      </c>
      <c r="E41" s="133">
        <v>43435</v>
      </c>
    </row>
    <row r="42" spans="2:5">
      <c r="B42" s="139">
        <v>134</v>
      </c>
      <c r="D42" s="132" t="s">
        <v>439</v>
      </c>
      <c r="E42" s="133">
        <v>43465</v>
      </c>
    </row>
    <row r="43" spans="2:5">
      <c r="B43" s="139">
        <v>135</v>
      </c>
      <c r="D43" s="132" t="s">
        <v>439</v>
      </c>
      <c r="E43" s="133">
        <v>43465</v>
      </c>
    </row>
    <row r="44" spans="2:5">
      <c r="B44" s="139">
        <v>136</v>
      </c>
      <c r="D44" s="127" t="s">
        <v>90</v>
      </c>
      <c r="E44" s="140" t="s">
        <v>90</v>
      </c>
    </row>
    <row r="45" spans="2:5">
      <c r="B45" s="139">
        <v>137</v>
      </c>
      <c r="D45" s="127" t="s">
        <v>91</v>
      </c>
      <c r="E45" s="140" t="s">
        <v>618</v>
      </c>
    </row>
    <row r="46" spans="2:5">
      <c r="B46" s="139">
        <v>138</v>
      </c>
      <c r="C46" s="136" t="s">
        <v>910</v>
      </c>
      <c r="D46" s="127" t="s">
        <v>911</v>
      </c>
      <c r="E46" s="166" t="s">
        <v>912</v>
      </c>
    </row>
    <row r="47" spans="2:5">
      <c r="B47" s="139">
        <v>139</v>
      </c>
      <c r="D47" s="127" t="s">
        <v>92</v>
      </c>
      <c r="E47" s="140" t="s">
        <v>619</v>
      </c>
    </row>
    <row r="48" spans="2:5">
      <c r="B48" s="139">
        <v>140</v>
      </c>
      <c r="D48" s="127" t="s">
        <v>93</v>
      </c>
      <c r="E48" s="140" t="s">
        <v>620</v>
      </c>
    </row>
    <row r="49" spans="1:6">
      <c r="B49" s="139">
        <v>141</v>
      </c>
      <c r="D49" s="127" t="s">
        <v>440</v>
      </c>
      <c r="E49" s="140" t="s">
        <v>521</v>
      </c>
    </row>
    <row r="50" spans="1:6">
      <c r="B50" s="139">
        <v>142</v>
      </c>
      <c r="D50" s="127" t="s">
        <v>94</v>
      </c>
      <c r="E50" s="140" t="s">
        <v>522</v>
      </c>
    </row>
    <row r="51" spans="1:6">
      <c r="B51" s="139">
        <v>143</v>
      </c>
      <c r="D51" s="127" t="s">
        <v>95</v>
      </c>
      <c r="E51" s="140" t="s">
        <v>621</v>
      </c>
    </row>
    <row r="52" spans="1:6">
      <c r="B52" s="139">
        <v>144</v>
      </c>
      <c r="D52" s="127" t="s">
        <v>96</v>
      </c>
      <c r="E52" s="140" t="s">
        <v>622</v>
      </c>
    </row>
    <row r="53" spans="1:6">
      <c r="B53" s="139">
        <v>145</v>
      </c>
      <c r="D53" s="127" t="s">
        <v>97</v>
      </c>
      <c r="E53" s="140" t="s">
        <v>623</v>
      </c>
    </row>
    <row r="54" spans="1:6">
      <c r="B54" s="139">
        <v>146</v>
      </c>
      <c r="D54" s="127" t="s">
        <v>98</v>
      </c>
      <c r="E54" s="140" t="s">
        <v>624</v>
      </c>
    </row>
    <row r="55" spans="1:6">
      <c r="B55" s="139">
        <v>147</v>
      </c>
      <c r="D55" s="127" t="s">
        <v>441</v>
      </c>
      <c r="E55" s="140" t="s">
        <v>523</v>
      </c>
    </row>
    <row r="56" spans="1:6">
      <c r="B56" s="139">
        <v>148</v>
      </c>
      <c r="D56" s="127" t="s">
        <v>99</v>
      </c>
      <c r="E56" s="140" t="s">
        <v>524</v>
      </c>
    </row>
    <row r="57" spans="1:6">
      <c r="B57" s="139">
        <v>149</v>
      </c>
      <c r="D57" s="127" t="s">
        <v>100</v>
      </c>
      <c r="E57" s="140" t="s">
        <v>625</v>
      </c>
    </row>
    <row r="58" spans="1:6">
      <c r="B58" s="139">
        <v>150</v>
      </c>
      <c r="D58" s="127" t="s">
        <v>101</v>
      </c>
      <c r="E58" s="140" t="s">
        <v>626</v>
      </c>
    </row>
    <row r="59" spans="1:6">
      <c r="B59" s="139">
        <v>151</v>
      </c>
      <c r="D59" s="127" t="s">
        <v>102</v>
      </c>
      <c r="E59" s="140" t="s">
        <v>627</v>
      </c>
    </row>
    <row r="60" spans="1:6">
      <c r="B60" s="139">
        <v>152</v>
      </c>
      <c r="D60" s="127" t="s">
        <v>442</v>
      </c>
      <c r="E60" s="140" t="s">
        <v>628</v>
      </c>
    </row>
    <row r="61" spans="1:6">
      <c r="A61" s="131"/>
      <c r="B61" s="139">
        <v>153</v>
      </c>
      <c r="C61" s="138" t="s">
        <v>509</v>
      </c>
      <c r="D61" s="128" t="s">
        <v>913</v>
      </c>
      <c r="E61" s="128" t="s">
        <v>914</v>
      </c>
      <c r="F61" s="130"/>
    </row>
    <row r="62" spans="1:6" ht="14.4">
      <c r="B62" s="139">
        <v>154</v>
      </c>
      <c r="D62" s="127" t="s">
        <v>103</v>
      </c>
      <c r="E62" s="168" t="s">
        <v>896</v>
      </c>
    </row>
    <row r="63" spans="1:6" ht="14.4">
      <c r="B63" s="139">
        <v>155</v>
      </c>
      <c r="D63" s="127" t="s">
        <v>104</v>
      </c>
      <c r="E63" s="168" t="s">
        <v>915</v>
      </c>
    </row>
    <row r="64" spans="1:6">
      <c r="A64" s="131"/>
      <c r="B64" s="139">
        <v>156</v>
      </c>
      <c r="C64" s="138" t="s">
        <v>916</v>
      </c>
      <c r="D64" s="128" t="s">
        <v>917</v>
      </c>
      <c r="E64" s="128" t="s">
        <v>918</v>
      </c>
      <c r="F64" s="130"/>
    </row>
    <row r="65" spans="1:6">
      <c r="A65" s="131"/>
      <c r="B65" s="139">
        <v>157</v>
      </c>
      <c r="C65" s="138" t="s">
        <v>509</v>
      </c>
      <c r="D65" s="128" t="s">
        <v>919</v>
      </c>
      <c r="E65" s="128" t="s">
        <v>920</v>
      </c>
      <c r="F65" s="130"/>
    </row>
    <row r="66" spans="1:6">
      <c r="A66" s="131"/>
      <c r="B66" s="139">
        <v>158</v>
      </c>
      <c r="C66" s="138" t="s">
        <v>509</v>
      </c>
      <c r="D66" s="128" t="s">
        <v>921</v>
      </c>
      <c r="E66" s="128" t="s">
        <v>922</v>
      </c>
      <c r="F66" s="130"/>
    </row>
    <row r="67" spans="1:6">
      <c r="A67" s="131"/>
      <c r="B67" s="139">
        <v>159</v>
      </c>
      <c r="C67" s="138" t="s">
        <v>916</v>
      </c>
      <c r="D67" s="128" t="s">
        <v>893</v>
      </c>
      <c r="E67" s="128" t="s">
        <v>923</v>
      </c>
      <c r="F67" s="130"/>
    </row>
    <row r="68" spans="1:6">
      <c r="B68" s="139">
        <v>160</v>
      </c>
      <c r="D68" s="127" t="s">
        <v>105</v>
      </c>
      <c r="E68" s="140" t="s">
        <v>924</v>
      </c>
    </row>
    <row r="69" spans="1:6">
      <c r="B69" s="139">
        <v>161</v>
      </c>
      <c r="D69" s="127" t="s">
        <v>106</v>
      </c>
      <c r="E69" s="140" t="s">
        <v>925</v>
      </c>
    </row>
    <row r="70" spans="1:6">
      <c r="B70" s="139">
        <v>162</v>
      </c>
      <c r="D70" s="127" t="s">
        <v>926</v>
      </c>
      <c r="E70" s="140" t="s">
        <v>894</v>
      </c>
    </row>
    <row r="71" spans="1:6">
      <c r="B71" s="139">
        <v>163</v>
      </c>
      <c r="D71" s="127" t="s">
        <v>107</v>
      </c>
      <c r="E71" s="140" t="s">
        <v>927</v>
      </c>
    </row>
    <row r="72" spans="1:6">
      <c r="B72" s="139">
        <v>164</v>
      </c>
      <c r="D72" s="127" t="s">
        <v>108</v>
      </c>
      <c r="E72" s="140" t="s">
        <v>629</v>
      </c>
    </row>
    <row r="73" spans="1:6">
      <c r="B73" s="139">
        <v>165</v>
      </c>
      <c r="D73" s="127" t="s">
        <v>109</v>
      </c>
      <c r="E73" s="140" t="s">
        <v>630</v>
      </c>
    </row>
    <row r="74" spans="1:6">
      <c r="B74" s="139">
        <v>166</v>
      </c>
      <c r="D74" s="127" t="s">
        <v>110</v>
      </c>
      <c r="E74" s="140" t="s">
        <v>631</v>
      </c>
    </row>
    <row r="75" spans="1:6" ht="26.4">
      <c r="B75" s="139">
        <v>167</v>
      </c>
      <c r="D75" s="127" t="s">
        <v>111</v>
      </c>
      <c r="E75" s="140" t="s">
        <v>632</v>
      </c>
    </row>
    <row r="76" spans="1:6">
      <c r="B76" s="139">
        <v>168</v>
      </c>
      <c r="D76" s="127" t="s">
        <v>112</v>
      </c>
      <c r="E76" s="140" t="s">
        <v>633</v>
      </c>
    </row>
    <row r="77" spans="1:6">
      <c r="B77" s="139">
        <v>169</v>
      </c>
      <c r="D77" s="127" t="s">
        <v>113</v>
      </c>
      <c r="E77" s="140" t="s">
        <v>634</v>
      </c>
    </row>
    <row r="78" spans="1:6">
      <c r="B78" s="139">
        <v>170</v>
      </c>
      <c r="D78" s="127" t="s">
        <v>114</v>
      </c>
      <c r="E78" s="140" t="s">
        <v>635</v>
      </c>
    </row>
    <row r="79" spans="1:6">
      <c r="B79" s="139">
        <v>171</v>
      </c>
      <c r="D79" s="127" t="s">
        <v>443</v>
      </c>
      <c r="E79" s="140" t="s">
        <v>636</v>
      </c>
    </row>
    <row r="80" spans="1:6">
      <c r="B80" s="139">
        <v>172</v>
      </c>
      <c r="D80" s="127" t="s">
        <v>115</v>
      </c>
      <c r="E80" s="140" t="s">
        <v>637</v>
      </c>
    </row>
    <row r="81" spans="2:5">
      <c r="B81" s="139">
        <v>173</v>
      </c>
      <c r="D81" s="127" t="s">
        <v>116</v>
      </c>
      <c r="E81" s="140" t="s">
        <v>638</v>
      </c>
    </row>
    <row r="82" spans="2:5">
      <c r="B82" s="139">
        <v>174</v>
      </c>
      <c r="D82" s="127" t="s">
        <v>117</v>
      </c>
      <c r="E82" s="140" t="s">
        <v>639</v>
      </c>
    </row>
    <row r="83" spans="2:5">
      <c r="B83" s="139">
        <v>175</v>
      </c>
      <c r="D83" s="127" t="s">
        <v>118</v>
      </c>
      <c r="E83" s="140" t="s">
        <v>640</v>
      </c>
    </row>
    <row r="84" spans="2:5">
      <c r="B84" s="139">
        <v>176</v>
      </c>
      <c r="D84" s="127" t="s">
        <v>119</v>
      </c>
      <c r="E84" s="140" t="s">
        <v>641</v>
      </c>
    </row>
    <row r="85" spans="2:5">
      <c r="B85" s="139">
        <v>177</v>
      </c>
      <c r="D85" s="127" t="s">
        <v>120</v>
      </c>
      <c r="E85" s="140" t="s">
        <v>525</v>
      </c>
    </row>
    <row r="86" spans="2:5">
      <c r="B86" s="139">
        <v>178</v>
      </c>
      <c r="D86" s="127" t="s">
        <v>121</v>
      </c>
      <c r="E86" s="140" t="s">
        <v>526</v>
      </c>
    </row>
    <row r="87" spans="2:5">
      <c r="B87" s="139">
        <v>179</v>
      </c>
      <c r="D87" s="127" t="s">
        <v>122</v>
      </c>
      <c r="E87" s="140" t="s">
        <v>642</v>
      </c>
    </row>
    <row r="88" spans="2:5">
      <c r="B88" s="139">
        <v>180</v>
      </c>
      <c r="D88" s="127" t="s">
        <v>444</v>
      </c>
      <c r="E88" s="140" t="s">
        <v>643</v>
      </c>
    </row>
    <row r="89" spans="2:5" ht="26.4">
      <c r="B89" s="139">
        <v>181</v>
      </c>
      <c r="D89" s="127" t="s">
        <v>445</v>
      </c>
      <c r="E89" s="140" t="s">
        <v>644</v>
      </c>
    </row>
    <row r="90" spans="2:5" ht="26.4">
      <c r="B90" s="139">
        <v>182</v>
      </c>
      <c r="D90" s="127" t="s">
        <v>123</v>
      </c>
      <c r="E90" s="140" t="s">
        <v>645</v>
      </c>
    </row>
    <row r="91" spans="2:5">
      <c r="B91" s="139">
        <v>183</v>
      </c>
      <c r="D91" s="127" t="s">
        <v>124</v>
      </c>
      <c r="E91" s="140" t="s">
        <v>125</v>
      </c>
    </row>
    <row r="92" spans="2:5">
      <c r="B92" s="139">
        <v>184</v>
      </c>
      <c r="D92" s="127" t="s">
        <v>446</v>
      </c>
      <c r="E92" s="140" t="s">
        <v>527</v>
      </c>
    </row>
    <row r="93" spans="2:5">
      <c r="B93" s="139">
        <v>185</v>
      </c>
      <c r="D93" s="127" t="s">
        <v>447</v>
      </c>
      <c r="E93" s="140" t="s">
        <v>528</v>
      </c>
    </row>
    <row r="94" spans="2:5">
      <c r="B94" s="139">
        <v>186</v>
      </c>
      <c r="D94" s="127" t="s">
        <v>448</v>
      </c>
      <c r="E94" s="140" t="s">
        <v>928</v>
      </c>
    </row>
    <row r="95" spans="2:5">
      <c r="B95" s="139">
        <v>187</v>
      </c>
      <c r="D95" s="127" t="s">
        <v>126</v>
      </c>
      <c r="E95" s="140" t="s">
        <v>646</v>
      </c>
    </row>
    <row r="96" spans="2:5" ht="26.4">
      <c r="B96" s="139">
        <v>188</v>
      </c>
      <c r="D96" s="127" t="s">
        <v>127</v>
      </c>
      <c r="E96" s="140" t="s">
        <v>647</v>
      </c>
    </row>
    <row r="97" spans="2:5" ht="26.4">
      <c r="B97" s="139">
        <v>189</v>
      </c>
      <c r="D97" s="127" t="s">
        <v>128</v>
      </c>
      <c r="E97" s="140" t="s">
        <v>648</v>
      </c>
    </row>
    <row r="98" spans="2:5">
      <c r="B98" s="139">
        <v>190</v>
      </c>
      <c r="D98" s="127" t="s">
        <v>129</v>
      </c>
      <c r="E98" s="140" t="s">
        <v>129</v>
      </c>
    </row>
    <row r="99" spans="2:5">
      <c r="B99" s="139">
        <v>191</v>
      </c>
      <c r="D99" s="127" t="s">
        <v>130</v>
      </c>
      <c r="E99" s="140" t="s">
        <v>529</v>
      </c>
    </row>
    <row r="100" spans="2:5">
      <c r="B100" s="139">
        <v>192</v>
      </c>
      <c r="D100" s="127" t="s">
        <v>131</v>
      </c>
      <c r="E100" s="140" t="s">
        <v>530</v>
      </c>
    </row>
    <row r="101" spans="2:5">
      <c r="B101" s="139">
        <v>193</v>
      </c>
      <c r="D101" s="127" t="s">
        <v>132</v>
      </c>
      <c r="E101" s="140" t="s">
        <v>531</v>
      </c>
    </row>
    <row r="102" spans="2:5">
      <c r="B102" s="139">
        <v>194</v>
      </c>
      <c r="D102" s="127" t="s">
        <v>449</v>
      </c>
      <c r="E102" s="140" t="s">
        <v>649</v>
      </c>
    </row>
    <row r="103" spans="2:5">
      <c r="B103" s="139">
        <v>195</v>
      </c>
      <c r="D103" s="127" t="s">
        <v>133</v>
      </c>
      <c r="E103" s="140" t="s">
        <v>650</v>
      </c>
    </row>
    <row r="104" spans="2:5">
      <c r="B104" s="139">
        <v>196</v>
      </c>
      <c r="D104" s="127" t="s">
        <v>450</v>
      </c>
      <c r="E104" s="140" t="s">
        <v>651</v>
      </c>
    </row>
    <row r="105" spans="2:5">
      <c r="B105" s="139">
        <v>197</v>
      </c>
      <c r="D105" s="127" t="s">
        <v>134</v>
      </c>
      <c r="E105" s="140" t="s">
        <v>652</v>
      </c>
    </row>
    <row r="106" spans="2:5">
      <c r="B106" s="139">
        <v>198</v>
      </c>
      <c r="D106" s="127" t="s">
        <v>135</v>
      </c>
      <c r="E106" s="140" t="s">
        <v>653</v>
      </c>
    </row>
    <row r="107" spans="2:5">
      <c r="B107" s="139">
        <v>199</v>
      </c>
      <c r="D107" s="127" t="s">
        <v>136</v>
      </c>
      <c r="E107" s="140" t="s">
        <v>654</v>
      </c>
    </row>
    <row r="108" spans="2:5">
      <c r="B108" s="139">
        <v>200</v>
      </c>
      <c r="D108" s="127" t="s">
        <v>451</v>
      </c>
      <c r="E108" s="140" t="s">
        <v>655</v>
      </c>
    </row>
    <row r="109" spans="2:5">
      <c r="B109" s="139">
        <v>201</v>
      </c>
      <c r="D109" s="127" t="s">
        <v>137</v>
      </c>
      <c r="E109" s="140" t="s">
        <v>656</v>
      </c>
    </row>
    <row r="110" spans="2:5">
      <c r="B110" s="139">
        <v>202</v>
      </c>
      <c r="D110" s="127" t="s">
        <v>138</v>
      </c>
      <c r="E110" s="140" t="s">
        <v>657</v>
      </c>
    </row>
    <row r="111" spans="2:5">
      <c r="B111" s="139">
        <v>203</v>
      </c>
      <c r="D111" s="127" t="s">
        <v>139</v>
      </c>
      <c r="E111" s="140" t="s">
        <v>532</v>
      </c>
    </row>
    <row r="112" spans="2:5">
      <c r="B112" s="139">
        <v>204</v>
      </c>
      <c r="D112" s="127" t="s">
        <v>452</v>
      </c>
      <c r="E112" s="140" t="s">
        <v>533</v>
      </c>
    </row>
    <row r="113" spans="2:5">
      <c r="B113" s="139">
        <v>205</v>
      </c>
      <c r="D113" s="127" t="s">
        <v>453</v>
      </c>
      <c r="E113" s="140" t="s">
        <v>534</v>
      </c>
    </row>
    <row r="114" spans="2:5">
      <c r="B114" s="139">
        <v>206</v>
      </c>
      <c r="D114" s="127" t="s">
        <v>454</v>
      </c>
      <c r="E114" s="140" t="s">
        <v>658</v>
      </c>
    </row>
    <row r="115" spans="2:5">
      <c r="B115" s="139">
        <v>207</v>
      </c>
      <c r="D115" s="127" t="s">
        <v>455</v>
      </c>
      <c r="E115" s="140" t="s">
        <v>535</v>
      </c>
    </row>
    <row r="116" spans="2:5">
      <c r="B116" s="139">
        <v>208</v>
      </c>
      <c r="D116" s="127" t="s">
        <v>456</v>
      </c>
      <c r="E116" s="140" t="s">
        <v>536</v>
      </c>
    </row>
    <row r="117" spans="2:5">
      <c r="B117" s="139">
        <v>209</v>
      </c>
      <c r="D117" s="127" t="s">
        <v>140</v>
      </c>
      <c r="E117" s="140" t="s">
        <v>659</v>
      </c>
    </row>
    <row r="118" spans="2:5">
      <c r="B118" s="139">
        <v>210</v>
      </c>
      <c r="D118" s="127" t="s">
        <v>457</v>
      </c>
      <c r="E118" s="140" t="s">
        <v>660</v>
      </c>
    </row>
    <row r="119" spans="2:5">
      <c r="B119" s="139">
        <v>211</v>
      </c>
      <c r="D119" s="127" t="s">
        <v>141</v>
      </c>
      <c r="E119" s="140" t="s">
        <v>537</v>
      </c>
    </row>
    <row r="120" spans="2:5">
      <c r="B120" s="139">
        <v>212</v>
      </c>
      <c r="D120" s="127" t="s">
        <v>142</v>
      </c>
      <c r="E120" s="140" t="s">
        <v>661</v>
      </c>
    </row>
    <row r="121" spans="2:5">
      <c r="B121" s="139">
        <v>213</v>
      </c>
      <c r="D121" s="127" t="s">
        <v>143</v>
      </c>
      <c r="E121" s="140" t="s">
        <v>662</v>
      </c>
    </row>
    <row r="122" spans="2:5">
      <c r="B122" s="139">
        <v>214</v>
      </c>
      <c r="D122" s="127" t="s">
        <v>458</v>
      </c>
      <c r="E122" s="140" t="s">
        <v>663</v>
      </c>
    </row>
    <row r="123" spans="2:5">
      <c r="B123" s="139">
        <v>215</v>
      </c>
      <c r="D123" s="127" t="s">
        <v>459</v>
      </c>
      <c r="E123" s="140" t="s">
        <v>664</v>
      </c>
    </row>
    <row r="124" spans="2:5">
      <c r="B124" s="139">
        <v>216</v>
      </c>
      <c r="D124" s="127" t="s">
        <v>980</v>
      </c>
      <c r="E124" s="140" t="s">
        <v>665</v>
      </c>
    </row>
    <row r="125" spans="2:5">
      <c r="B125" s="139">
        <v>217</v>
      </c>
      <c r="D125" s="127" t="s">
        <v>460</v>
      </c>
      <c r="E125" s="140" t="s">
        <v>666</v>
      </c>
    </row>
    <row r="126" spans="2:5">
      <c r="B126" s="139">
        <v>218</v>
      </c>
      <c r="D126" s="127" t="s">
        <v>461</v>
      </c>
      <c r="E126" s="140" t="s">
        <v>667</v>
      </c>
    </row>
    <row r="127" spans="2:5">
      <c r="B127" s="139">
        <v>219</v>
      </c>
      <c r="D127" s="127" t="s">
        <v>462</v>
      </c>
      <c r="E127" s="140" t="s">
        <v>668</v>
      </c>
    </row>
    <row r="128" spans="2:5">
      <c r="B128" s="139">
        <v>220</v>
      </c>
      <c r="D128" s="127" t="s">
        <v>463</v>
      </c>
      <c r="E128" s="140" t="s">
        <v>669</v>
      </c>
    </row>
    <row r="129" spans="2:5">
      <c r="B129" s="139">
        <v>221</v>
      </c>
      <c r="D129" s="127" t="s">
        <v>144</v>
      </c>
      <c r="E129" s="140" t="s">
        <v>670</v>
      </c>
    </row>
    <row r="130" spans="2:5">
      <c r="B130" s="139">
        <v>222</v>
      </c>
      <c r="D130" s="127" t="s">
        <v>145</v>
      </c>
      <c r="E130" s="140" t="s">
        <v>671</v>
      </c>
    </row>
    <row r="131" spans="2:5">
      <c r="B131" s="139">
        <v>223</v>
      </c>
      <c r="D131" s="127" t="s">
        <v>146</v>
      </c>
      <c r="E131" s="140" t="s">
        <v>672</v>
      </c>
    </row>
    <row r="132" spans="2:5">
      <c r="B132" s="139">
        <v>224</v>
      </c>
      <c r="D132" s="127" t="s">
        <v>147</v>
      </c>
      <c r="E132" s="140" t="s">
        <v>673</v>
      </c>
    </row>
    <row r="133" spans="2:5">
      <c r="B133" s="139">
        <v>225</v>
      </c>
      <c r="D133" s="127" t="s">
        <v>464</v>
      </c>
      <c r="E133" s="140" t="s">
        <v>674</v>
      </c>
    </row>
    <row r="134" spans="2:5">
      <c r="B134" s="139">
        <v>226</v>
      </c>
      <c r="D134" s="127" t="s">
        <v>465</v>
      </c>
      <c r="E134" s="140" t="s">
        <v>675</v>
      </c>
    </row>
    <row r="135" spans="2:5">
      <c r="B135" s="139">
        <v>227</v>
      </c>
      <c r="D135" s="127" t="s">
        <v>466</v>
      </c>
      <c r="E135" s="140" t="s">
        <v>676</v>
      </c>
    </row>
    <row r="136" spans="2:5">
      <c r="B136" s="139">
        <v>228</v>
      </c>
      <c r="D136" s="127" t="s">
        <v>148</v>
      </c>
      <c r="E136" s="140" t="s">
        <v>677</v>
      </c>
    </row>
    <row r="137" spans="2:5">
      <c r="B137" s="139">
        <v>229</v>
      </c>
      <c r="D137" s="127" t="s">
        <v>149</v>
      </c>
      <c r="E137" s="140" t="s">
        <v>678</v>
      </c>
    </row>
    <row r="138" spans="2:5">
      <c r="B138" s="139">
        <v>230</v>
      </c>
      <c r="D138" s="127" t="s">
        <v>467</v>
      </c>
      <c r="E138" s="140" t="s">
        <v>538</v>
      </c>
    </row>
    <row r="139" spans="2:5">
      <c r="B139" s="139">
        <v>231</v>
      </c>
      <c r="D139" s="127" t="s">
        <v>150</v>
      </c>
      <c r="E139" s="140" t="s">
        <v>679</v>
      </c>
    </row>
    <row r="140" spans="2:5" ht="39.6">
      <c r="B140" s="139">
        <v>232</v>
      </c>
      <c r="D140" s="127" t="s">
        <v>151</v>
      </c>
      <c r="E140" s="140" t="s">
        <v>680</v>
      </c>
    </row>
    <row r="141" spans="2:5">
      <c r="B141" s="139">
        <v>233</v>
      </c>
      <c r="D141" s="127" t="s">
        <v>152</v>
      </c>
      <c r="E141" s="140" t="s">
        <v>681</v>
      </c>
    </row>
    <row r="142" spans="2:5">
      <c r="B142" s="139">
        <v>234</v>
      </c>
      <c r="D142" s="127" t="s">
        <v>153</v>
      </c>
      <c r="E142" s="140" t="s">
        <v>929</v>
      </c>
    </row>
    <row r="143" spans="2:5">
      <c r="B143" s="139">
        <v>235</v>
      </c>
      <c r="D143" s="127" t="s">
        <v>154</v>
      </c>
      <c r="E143" s="140" t="s">
        <v>539</v>
      </c>
    </row>
    <row r="144" spans="2:5">
      <c r="B144" s="139">
        <v>236</v>
      </c>
      <c r="D144" s="127" t="s">
        <v>155</v>
      </c>
      <c r="E144" s="140" t="s">
        <v>682</v>
      </c>
    </row>
    <row r="145" spans="2:5">
      <c r="B145" s="139">
        <v>237</v>
      </c>
      <c r="D145" s="127" t="s">
        <v>156</v>
      </c>
      <c r="E145" s="140" t="s">
        <v>540</v>
      </c>
    </row>
    <row r="146" spans="2:5">
      <c r="B146" s="139">
        <v>238</v>
      </c>
      <c r="D146" s="127" t="s">
        <v>157</v>
      </c>
      <c r="E146" s="140" t="s">
        <v>683</v>
      </c>
    </row>
    <row r="147" spans="2:5">
      <c r="B147" s="139">
        <v>239</v>
      </c>
      <c r="D147" s="127" t="s">
        <v>158</v>
      </c>
      <c r="E147" s="140" t="s">
        <v>684</v>
      </c>
    </row>
    <row r="148" spans="2:5">
      <c r="B148" s="139">
        <v>240</v>
      </c>
      <c r="D148" s="127" t="s">
        <v>159</v>
      </c>
      <c r="E148" s="140" t="s">
        <v>541</v>
      </c>
    </row>
    <row r="149" spans="2:5">
      <c r="B149" s="139">
        <v>241</v>
      </c>
      <c r="D149" s="127" t="s">
        <v>160</v>
      </c>
      <c r="E149" s="140" t="s">
        <v>542</v>
      </c>
    </row>
    <row r="150" spans="2:5">
      <c r="B150" s="139">
        <v>242</v>
      </c>
      <c r="D150" s="127" t="s">
        <v>161</v>
      </c>
      <c r="E150" s="140" t="s">
        <v>685</v>
      </c>
    </row>
    <row r="151" spans="2:5">
      <c r="B151" s="139">
        <v>243</v>
      </c>
      <c r="D151" s="127" t="s">
        <v>162</v>
      </c>
      <c r="E151" s="140" t="s">
        <v>686</v>
      </c>
    </row>
    <row r="152" spans="2:5">
      <c r="B152" s="139">
        <v>244</v>
      </c>
      <c r="D152" s="127" t="s">
        <v>163</v>
      </c>
      <c r="E152" s="140" t="s">
        <v>687</v>
      </c>
    </row>
    <row r="153" spans="2:5">
      <c r="B153" s="139">
        <v>245</v>
      </c>
      <c r="D153" s="127" t="s">
        <v>468</v>
      </c>
      <c r="E153" s="140" t="s">
        <v>688</v>
      </c>
    </row>
    <row r="154" spans="2:5">
      <c r="B154" s="139">
        <v>246</v>
      </c>
      <c r="D154" s="127" t="s">
        <v>164</v>
      </c>
      <c r="E154" s="140" t="s">
        <v>689</v>
      </c>
    </row>
    <row r="155" spans="2:5">
      <c r="B155" s="139">
        <v>247</v>
      </c>
      <c r="D155" s="127" t="s">
        <v>165</v>
      </c>
      <c r="E155" s="140" t="s">
        <v>543</v>
      </c>
    </row>
    <row r="156" spans="2:5">
      <c r="B156" s="139">
        <v>248</v>
      </c>
      <c r="D156" s="127" t="s">
        <v>166</v>
      </c>
      <c r="E156" s="140" t="s">
        <v>690</v>
      </c>
    </row>
    <row r="157" spans="2:5">
      <c r="B157" s="139">
        <v>249</v>
      </c>
      <c r="D157" s="127" t="s">
        <v>469</v>
      </c>
      <c r="E157" s="140" t="s">
        <v>691</v>
      </c>
    </row>
    <row r="158" spans="2:5">
      <c r="B158" s="139">
        <v>250</v>
      </c>
      <c r="D158" s="127" t="s">
        <v>470</v>
      </c>
      <c r="E158" s="140" t="s">
        <v>692</v>
      </c>
    </row>
    <row r="159" spans="2:5">
      <c r="B159" s="139">
        <v>251</v>
      </c>
      <c r="D159" s="127" t="s">
        <v>471</v>
      </c>
      <c r="E159" s="140" t="s">
        <v>693</v>
      </c>
    </row>
    <row r="160" spans="2:5">
      <c r="B160" s="139">
        <v>252</v>
      </c>
      <c r="D160" s="127" t="s">
        <v>472</v>
      </c>
      <c r="E160" s="140" t="s">
        <v>694</v>
      </c>
    </row>
    <row r="161" spans="2:5">
      <c r="B161" s="139">
        <v>253</v>
      </c>
      <c r="D161" s="127" t="s">
        <v>167</v>
      </c>
      <c r="E161" s="140" t="s">
        <v>930</v>
      </c>
    </row>
    <row r="162" spans="2:5" ht="26.4">
      <c r="B162" s="139">
        <v>254</v>
      </c>
      <c r="D162" s="127" t="s">
        <v>168</v>
      </c>
      <c r="E162" s="140" t="s">
        <v>695</v>
      </c>
    </row>
    <row r="163" spans="2:5" ht="26.4">
      <c r="B163" s="139">
        <v>255</v>
      </c>
      <c r="D163" s="127" t="s">
        <v>169</v>
      </c>
      <c r="E163" s="140" t="s">
        <v>696</v>
      </c>
    </row>
    <row r="164" spans="2:5" ht="26.4">
      <c r="B164" s="139">
        <v>256</v>
      </c>
      <c r="D164" s="127" t="s">
        <v>170</v>
      </c>
      <c r="E164" s="140" t="s">
        <v>697</v>
      </c>
    </row>
    <row r="165" spans="2:5">
      <c r="B165" s="139">
        <v>257</v>
      </c>
      <c r="D165" s="127" t="s">
        <v>171</v>
      </c>
      <c r="E165" s="140" t="s">
        <v>544</v>
      </c>
    </row>
    <row r="166" spans="2:5">
      <c r="B166" s="139">
        <v>258</v>
      </c>
      <c r="D166" s="127" t="s">
        <v>172</v>
      </c>
      <c r="E166" s="140" t="s">
        <v>698</v>
      </c>
    </row>
    <row r="167" spans="2:5">
      <c r="B167" s="139">
        <v>259</v>
      </c>
      <c r="D167" s="127" t="s">
        <v>173</v>
      </c>
      <c r="E167" s="140" t="s">
        <v>699</v>
      </c>
    </row>
    <row r="168" spans="2:5">
      <c r="B168" s="139">
        <v>260</v>
      </c>
      <c r="D168" s="127" t="s">
        <v>174</v>
      </c>
      <c r="E168" s="140" t="s">
        <v>700</v>
      </c>
    </row>
    <row r="169" spans="2:5">
      <c r="B169" s="139">
        <v>261</v>
      </c>
      <c r="D169" s="127" t="s">
        <v>175</v>
      </c>
      <c r="E169" s="140" t="s">
        <v>701</v>
      </c>
    </row>
    <row r="170" spans="2:5" ht="26.4">
      <c r="B170" s="139">
        <v>262</v>
      </c>
      <c r="D170" s="127" t="s">
        <v>176</v>
      </c>
      <c r="E170" s="140" t="s">
        <v>702</v>
      </c>
    </row>
    <row r="171" spans="2:5">
      <c r="B171" s="139">
        <v>263</v>
      </c>
      <c r="D171" s="127" t="s">
        <v>177</v>
      </c>
      <c r="E171" s="140" t="s">
        <v>703</v>
      </c>
    </row>
    <row r="172" spans="2:5">
      <c r="B172" s="139">
        <v>264</v>
      </c>
      <c r="D172" s="127" t="s">
        <v>178</v>
      </c>
      <c r="E172" s="140" t="s">
        <v>704</v>
      </c>
    </row>
    <row r="173" spans="2:5">
      <c r="B173" s="139">
        <v>265</v>
      </c>
      <c r="D173" s="127" t="s">
        <v>179</v>
      </c>
      <c r="E173" s="140" t="s">
        <v>705</v>
      </c>
    </row>
    <row r="174" spans="2:5">
      <c r="B174" s="139">
        <v>266</v>
      </c>
      <c r="D174" s="127" t="s">
        <v>180</v>
      </c>
      <c r="E174" s="140" t="s">
        <v>706</v>
      </c>
    </row>
    <row r="175" spans="2:5">
      <c r="B175" s="139">
        <v>267</v>
      </c>
      <c r="D175" s="127" t="s">
        <v>181</v>
      </c>
      <c r="E175" s="140" t="s">
        <v>707</v>
      </c>
    </row>
    <row r="176" spans="2:5">
      <c r="B176" s="139">
        <v>268</v>
      </c>
      <c r="D176" s="127" t="s">
        <v>182</v>
      </c>
      <c r="E176" s="140" t="s">
        <v>708</v>
      </c>
    </row>
    <row r="177" spans="2:5">
      <c r="B177" s="139">
        <v>269</v>
      </c>
      <c r="D177" s="127" t="s">
        <v>473</v>
      </c>
      <c r="E177" s="140" t="s">
        <v>709</v>
      </c>
    </row>
    <row r="178" spans="2:5">
      <c r="B178" s="139">
        <v>270</v>
      </c>
      <c r="D178" s="127" t="s">
        <v>183</v>
      </c>
      <c r="E178" s="140" t="s">
        <v>710</v>
      </c>
    </row>
    <row r="179" spans="2:5">
      <c r="B179" s="139">
        <v>271</v>
      </c>
      <c r="D179" s="127" t="s">
        <v>474</v>
      </c>
      <c r="E179" s="140" t="s">
        <v>545</v>
      </c>
    </row>
    <row r="180" spans="2:5" ht="26.4">
      <c r="B180" s="139">
        <v>272</v>
      </c>
      <c r="D180" s="127" t="s">
        <v>184</v>
      </c>
    </row>
    <row r="181" spans="2:5">
      <c r="B181" s="139">
        <v>273</v>
      </c>
      <c r="D181" s="127" t="s">
        <v>185</v>
      </c>
      <c r="E181" s="140" t="s">
        <v>711</v>
      </c>
    </row>
    <row r="182" spans="2:5">
      <c r="B182" s="139">
        <v>274</v>
      </c>
      <c r="D182" s="127" t="s">
        <v>186</v>
      </c>
      <c r="E182" s="140" t="s">
        <v>546</v>
      </c>
    </row>
    <row r="183" spans="2:5">
      <c r="B183" s="139">
        <v>275</v>
      </c>
      <c r="D183" s="127" t="s">
        <v>187</v>
      </c>
      <c r="E183" s="140" t="s">
        <v>547</v>
      </c>
    </row>
    <row r="184" spans="2:5">
      <c r="B184" s="139">
        <v>276</v>
      </c>
      <c r="D184" s="127" t="s">
        <v>188</v>
      </c>
      <c r="E184" s="140" t="s">
        <v>931</v>
      </c>
    </row>
    <row r="185" spans="2:5">
      <c r="B185" s="139">
        <v>277</v>
      </c>
      <c r="D185" s="127" t="s">
        <v>475</v>
      </c>
      <c r="E185" s="140" t="s">
        <v>548</v>
      </c>
    </row>
    <row r="186" spans="2:5">
      <c r="B186" s="139">
        <v>278</v>
      </c>
      <c r="D186" s="127" t="s">
        <v>189</v>
      </c>
      <c r="E186" s="140" t="s">
        <v>549</v>
      </c>
    </row>
    <row r="187" spans="2:5">
      <c r="B187" s="139">
        <v>279</v>
      </c>
      <c r="D187" s="127" t="s">
        <v>190</v>
      </c>
      <c r="E187" s="140" t="s">
        <v>712</v>
      </c>
    </row>
    <row r="188" spans="2:5">
      <c r="B188" s="139">
        <v>280</v>
      </c>
      <c r="D188" s="127" t="s">
        <v>1</v>
      </c>
      <c r="E188" s="140" t="s">
        <v>1</v>
      </c>
    </row>
    <row r="189" spans="2:5">
      <c r="B189" s="139">
        <v>281</v>
      </c>
      <c r="D189" s="127" t="s">
        <v>2</v>
      </c>
      <c r="E189" s="140" t="s">
        <v>2</v>
      </c>
    </row>
    <row r="190" spans="2:5">
      <c r="B190" s="139">
        <v>282</v>
      </c>
      <c r="D190" s="127" t="s">
        <v>191</v>
      </c>
      <c r="E190" s="140" t="s">
        <v>192</v>
      </c>
    </row>
    <row r="191" spans="2:5">
      <c r="B191" s="139">
        <v>283</v>
      </c>
      <c r="D191" s="127" t="s">
        <v>193</v>
      </c>
      <c r="E191" s="140" t="s">
        <v>932</v>
      </c>
    </row>
    <row r="192" spans="2:5">
      <c r="B192" s="139">
        <v>284</v>
      </c>
      <c r="D192" s="127" t="s">
        <v>194</v>
      </c>
      <c r="E192" s="140" t="s">
        <v>713</v>
      </c>
    </row>
    <row r="193" spans="2:5">
      <c r="B193" s="139">
        <v>285</v>
      </c>
      <c r="D193" s="127" t="s">
        <v>195</v>
      </c>
      <c r="E193" s="140" t="s">
        <v>550</v>
      </c>
    </row>
    <row r="194" spans="2:5">
      <c r="B194" s="139">
        <v>286</v>
      </c>
      <c r="D194" s="127" t="s">
        <v>476</v>
      </c>
      <c r="E194" s="140" t="s">
        <v>551</v>
      </c>
    </row>
    <row r="195" spans="2:5">
      <c r="B195" s="139">
        <v>287</v>
      </c>
      <c r="D195" s="127" t="s">
        <v>477</v>
      </c>
      <c r="E195" s="140" t="s">
        <v>552</v>
      </c>
    </row>
    <row r="196" spans="2:5">
      <c r="B196" s="139">
        <v>288</v>
      </c>
      <c r="D196" s="127" t="s">
        <v>478</v>
      </c>
      <c r="E196" s="140" t="s">
        <v>551</v>
      </c>
    </row>
    <row r="197" spans="2:5">
      <c r="B197" s="139">
        <v>289</v>
      </c>
      <c r="D197" s="127" t="s">
        <v>196</v>
      </c>
      <c r="E197" s="140" t="s">
        <v>553</v>
      </c>
    </row>
    <row r="198" spans="2:5">
      <c r="B198" s="139">
        <v>290</v>
      </c>
      <c r="D198" s="127" t="s">
        <v>479</v>
      </c>
      <c r="E198" s="140" t="s">
        <v>714</v>
      </c>
    </row>
    <row r="199" spans="2:5">
      <c r="B199" s="139">
        <v>291</v>
      </c>
      <c r="D199" s="127" t="s">
        <v>197</v>
      </c>
      <c r="E199" s="140" t="s">
        <v>715</v>
      </c>
    </row>
    <row r="200" spans="2:5">
      <c r="B200" s="139">
        <v>292</v>
      </c>
      <c r="D200" s="127" t="s">
        <v>510</v>
      </c>
      <c r="E200" s="140" t="s">
        <v>716</v>
      </c>
    </row>
    <row r="201" spans="2:5">
      <c r="B201" s="139">
        <v>293</v>
      </c>
      <c r="D201" s="127" t="s">
        <v>511</v>
      </c>
      <c r="E201" s="140" t="s">
        <v>933</v>
      </c>
    </row>
    <row r="202" spans="2:5">
      <c r="B202" s="139">
        <v>294</v>
      </c>
      <c r="D202" s="127" t="s">
        <v>198</v>
      </c>
      <c r="E202" s="140" t="s">
        <v>554</v>
      </c>
    </row>
    <row r="203" spans="2:5">
      <c r="B203" s="139">
        <v>295</v>
      </c>
      <c r="D203" s="127" t="s">
        <v>480</v>
      </c>
      <c r="E203" s="140" t="s">
        <v>555</v>
      </c>
    </row>
    <row r="204" spans="2:5">
      <c r="B204" s="139">
        <v>296</v>
      </c>
      <c r="D204" s="127" t="s">
        <v>199</v>
      </c>
      <c r="E204" s="140" t="s">
        <v>717</v>
      </c>
    </row>
    <row r="205" spans="2:5">
      <c r="B205" s="139">
        <v>297</v>
      </c>
      <c r="D205" s="127" t="s">
        <v>200</v>
      </c>
      <c r="E205" s="140" t="s">
        <v>718</v>
      </c>
    </row>
    <row r="206" spans="2:5">
      <c r="B206" s="139">
        <v>298</v>
      </c>
      <c r="D206" s="127" t="s">
        <v>201</v>
      </c>
      <c r="E206" s="140" t="s">
        <v>556</v>
      </c>
    </row>
    <row r="207" spans="2:5" ht="26.4">
      <c r="B207" s="139">
        <v>299</v>
      </c>
      <c r="D207" s="127" t="s">
        <v>202</v>
      </c>
      <c r="E207" s="140" t="s">
        <v>719</v>
      </c>
    </row>
    <row r="208" spans="2:5" ht="26.4">
      <c r="B208" s="139">
        <v>300</v>
      </c>
      <c r="D208" s="127" t="s">
        <v>512</v>
      </c>
      <c r="E208" s="140" t="s">
        <v>720</v>
      </c>
    </row>
    <row r="209" spans="2:5">
      <c r="B209" s="139">
        <v>301</v>
      </c>
      <c r="D209" s="127" t="s">
        <v>513</v>
      </c>
      <c r="E209" s="140" t="s">
        <v>934</v>
      </c>
    </row>
    <row r="210" spans="2:5">
      <c r="B210" s="139">
        <v>302</v>
      </c>
      <c r="D210" s="127" t="s">
        <v>481</v>
      </c>
      <c r="E210" s="140" t="s">
        <v>935</v>
      </c>
    </row>
    <row r="211" spans="2:5">
      <c r="B211" s="139">
        <v>303</v>
      </c>
      <c r="D211" s="127" t="s">
        <v>203</v>
      </c>
      <c r="E211" s="140" t="s">
        <v>721</v>
      </c>
    </row>
    <row r="212" spans="2:5">
      <c r="B212" s="139">
        <v>304</v>
      </c>
      <c r="D212" s="127" t="s">
        <v>482</v>
      </c>
      <c r="E212" s="140" t="s">
        <v>722</v>
      </c>
    </row>
    <row r="213" spans="2:5">
      <c r="B213" s="139">
        <v>305</v>
      </c>
      <c r="D213" s="127" t="s">
        <v>483</v>
      </c>
      <c r="E213" s="140" t="s">
        <v>557</v>
      </c>
    </row>
    <row r="214" spans="2:5">
      <c r="B214" s="139">
        <v>306</v>
      </c>
      <c r="D214" s="127" t="s">
        <v>204</v>
      </c>
      <c r="E214" s="140" t="s">
        <v>723</v>
      </c>
    </row>
    <row r="215" spans="2:5">
      <c r="B215" s="139">
        <v>307</v>
      </c>
      <c r="D215" s="127" t="s">
        <v>205</v>
      </c>
      <c r="E215" s="140" t="s">
        <v>558</v>
      </c>
    </row>
    <row r="216" spans="2:5">
      <c r="B216" s="139">
        <v>308</v>
      </c>
      <c r="D216" s="127" t="s">
        <v>484</v>
      </c>
      <c r="E216" s="140" t="s">
        <v>724</v>
      </c>
    </row>
    <row r="217" spans="2:5">
      <c r="B217" s="139">
        <v>309</v>
      </c>
      <c r="D217" s="127" t="s">
        <v>206</v>
      </c>
      <c r="E217" s="140" t="s">
        <v>725</v>
      </c>
    </row>
    <row r="218" spans="2:5">
      <c r="B218" s="139">
        <v>310</v>
      </c>
      <c r="D218" s="127" t="s">
        <v>207</v>
      </c>
      <c r="E218" s="140" t="s">
        <v>726</v>
      </c>
    </row>
    <row r="219" spans="2:5" ht="26.4">
      <c r="B219" s="139">
        <v>311</v>
      </c>
      <c r="D219" s="127" t="s">
        <v>208</v>
      </c>
      <c r="E219" s="140" t="s">
        <v>727</v>
      </c>
    </row>
    <row r="220" spans="2:5">
      <c r="B220" s="139">
        <v>312</v>
      </c>
      <c r="D220" s="127" t="s">
        <v>209</v>
      </c>
      <c r="E220" s="140" t="s">
        <v>728</v>
      </c>
    </row>
    <row r="221" spans="2:5">
      <c r="B221" s="139">
        <v>313</v>
      </c>
      <c r="C221" s="136" t="s">
        <v>910</v>
      </c>
      <c r="D221" s="127" t="s">
        <v>936</v>
      </c>
      <c r="E221" s="166" t="s">
        <v>937</v>
      </c>
    </row>
    <row r="222" spans="2:5">
      <c r="B222" s="139">
        <v>314</v>
      </c>
      <c r="D222" s="127" t="s">
        <v>210</v>
      </c>
      <c r="E222" s="140" t="s">
        <v>938</v>
      </c>
    </row>
    <row r="223" spans="2:5">
      <c r="B223" s="139">
        <v>315</v>
      </c>
      <c r="D223" s="127" t="s">
        <v>211</v>
      </c>
      <c r="E223" s="140" t="s">
        <v>729</v>
      </c>
    </row>
    <row r="224" spans="2:5">
      <c r="B224" s="139">
        <v>316</v>
      </c>
      <c r="D224" s="127" t="s">
        <v>212</v>
      </c>
      <c r="E224" s="140" t="s">
        <v>730</v>
      </c>
    </row>
    <row r="225" spans="1:6">
      <c r="B225" s="139">
        <v>317</v>
      </c>
      <c r="D225" s="127" t="s">
        <v>213</v>
      </c>
      <c r="E225" s="140" t="s">
        <v>731</v>
      </c>
    </row>
    <row r="226" spans="1:6">
      <c r="B226" s="139">
        <v>318</v>
      </c>
      <c r="D226" s="127" t="s">
        <v>214</v>
      </c>
      <c r="E226" s="140" t="s">
        <v>559</v>
      </c>
    </row>
    <row r="227" spans="1:6">
      <c r="B227" s="139">
        <v>319</v>
      </c>
      <c r="D227" s="127" t="s">
        <v>485</v>
      </c>
      <c r="E227" s="140" t="s">
        <v>732</v>
      </c>
    </row>
    <row r="228" spans="1:6">
      <c r="B228" s="139">
        <v>320</v>
      </c>
      <c r="D228" s="127" t="s">
        <v>215</v>
      </c>
      <c r="E228" s="140" t="s">
        <v>733</v>
      </c>
    </row>
    <row r="229" spans="1:6" ht="39.6">
      <c r="B229" s="139">
        <v>321</v>
      </c>
      <c r="D229" s="127" t="s">
        <v>216</v>
      </c>
      <c r="E229" s="140" t="s">
        <v>734</v>
      </c>
    </row>
    <row r="230" spans="1:6">
      <c r="B230" s="139">
        <v>322</v>
      </c>
      <c r="D230" s="127" t="s">
        <v>217</v>
      </c>
      <c r="E230" s="140" t="s">
        <v>735</v>
      </c>
    </row>
    <row r="231" spans="1:6" ht="26.4">
      <c r="B231" s="139">
        <v>323</v>
      </c>
      <c r="D231" s="127" t="s">
        <v>218</v>
      </c>
      <c r="E231" s="140" t="s">
        <v>736</v>
      </c>
    </row>
    <row r="232" spans="1:6">
      <c r="A232" s="129"/>
      <c r="B232" s="139">
        <v>324</v>
      </c>
      <c r="C232" s="138" t="s">
        <v>509</v>
      </c>
      <c r="D232" s="128" t="s">
        <v>939</v>
      </c>
      <c r="E232" s="128" t="s">
        <v>516</v>
      </c>
      <c r="F232" s="130"/>
    </row>
    <row r="233" spans="1:6">
      <c r="A233" s="129"/>
      <c r="B233" s="139">
        <v>325</v>
      </c>
      <c r="C233" s="138" t="s">
        <v>509</v>
      </c>
      <c r="D233" s="128" t="s">
        <v>940</v>
      </c>
      <c r="E233" s="128" t="s">
        <v>889</v>
      </c>
      <c r="F233" s="130"/>
    </row>
    <row r="234" spans="1:6">
      <c r="A234" s="129"/>
      <c r="B234" s="139">
        <v>326</v>
      </c>
      <c r="C234" s="138" t="s">
        <v>908</v>
      </c>
      <c r="D234" s="128" t="s">
        <v>941</v>
      </c>
      <c r="E234" s="128" t="s">
        <v>942</v>
      </c>
      <c r="F234" s="130"/>
    </row>
    <row r="235" spans="1:6">
      <c r="B235" s="139">
        <v>327</v>
      </c>
      <c r="D235" s="127" t="s">
        <v>219</v>
      </c>
      <c r="E235" s="140" t="s">
        <v>560</v>
      </c>
    </row>
    <row r="236" spans="1:6" ht="14.4">
      <c r="B236" s="139">
        <v>328</v>
      </c>
      <c r="D236" s="127" t="s">
        <v>220</v>
      </c>
      <c r="E236" s="168" t="s">
        <v>895</v>
      </c>
    </row>
    <row r="237" spans="1:6">
      <c r="B237" s="139">
        <v>329</v>
      </c>
      <c r="D237" s="127" t="s">
        <v>221</v>
      </c>
      <c r="E237" s="140" t="s">
        <v>737</v>
      </c>
    </row>
    <row r="238" spans="1:6">
      <c r="B238" s="139">
        <v>330</v>
      </c>
      <c r="D238" s="127" t="s">
        <v>222</v>
      </c>
      <c r="E238" s="140" t="s">
        <v>738</v>
      </c>
    </row>
    <row r="239" spans="1:6">
      <c r="B239" s="139">
        <v>331</v>
      </c>
      <c r="D239" s="127" t="s">
        <v>223</v>
      </c>
      <c r="E239" s="140" t="s">
        <v>739</v>
      </c>
    </row>
    <row r="240" spans="1:6">
      <c r="B240" s="139">
        <v>332</v>
      </c>
      <c r="D240" s="127" t="s">
        <v>224</v>
      </c>
      <c r="E240" s="140" t="s">
        <v>740</v>
      </c>
    </row>
    <row r="241" spans="2:5">
      <c r="B241" s="139">
        <v>333</v>
      </c>
      <c r="D241" s="127" t="s">
        <v>225</v>
      </c>
      <c r="E241" s="140" t="s">
        <v>741</v>
      </c>
    </row>
    <row r="242" spans="2:5">
      <c r="B242" s="139">
        <v>334</v>
      </c>
      <c r="D242" s="127" t="s">
        <v>226</v>
      </c>
      <c r="E242" s="140" t="s">
        <v>742</v>
      </c>
    </row>
    <row r="243" spans="2:5">
      <c r="B243" s="139">
        <v>335</v>
      </c>
      <c r="D243" s="127" t="s">
        <v>227</v>
      </c>
      <c r="E243" s="140" t="s">
        <v>743</v>
      </c>
    </row>
    <row r="244" spans="2:5">
      <c r="B244" s="139">
        <v>336</v>
      </c>
      <c r="D244" s="127" t="s">
        <v>228</v>
      </c>
      <c r="E244" s="140" t="s">
        <v>561</v>
      </c>
    </row>
    <row r="245" spans="2:5">
      <c r="B245" s="139">
        <v>337</v>
      </c>
      <c r="D245" s="127" t="s">
        <v>229</v>
      </c>
      <c r="E245" s="140" t="s">
        <v>744</v>
      </c>
    </row>
    <row r="246" spans="2:5">
      <c r="B246" s="139">
        <v>338</v>
      </c>
      <c r="D246" s="127" t="s">
        <v>230</v>
      </c>
      <c r="E246" s="140" t="s">
        <v>562</v>
      </c>
    </row>
    <row r="247" spans="2:5">
      <c r="B247" s="139">
        <v>339</v>
      </c>
      <c r="D247" s="127" t="s">
        <v>231</v>
      </c>
      <c r="E247" s="140" t="s">
        <v>745</v>
      </c>
    </row>
    <row r="248" spans="2:5">
      <c r="B248" s="139">
        <v>340</v>
      </c>
      <c r="D248" s="127" t="s">
        <v>232</v>
      </c>
      <c r="E248" s="140" t="s">
        <v>563</v>
      </c>
    </row>
    <row r="249" spans="2:5">
      <c r="B249" s="139">
        <v>341</v>
      </c>
      <c r="D249" s="127" t="s">
        <v>233</v>
      </c>
      <c r="E249" s="140" t="s">
        <v>746</v>
      </c>
    </row>
    <row r="250" spans="2:5">
      <c r="B250" s="139">
        <v>342</v>
      </c>
      <c r="D250" s="127" t="s">
        <v>234</v>
      </c>
      <c r="E250" s="140" t="s">
        <v>564</v>
      </c>
    </row>
    <row r="251" spans="2:5">
      <c r="B251" s="139">
        <v>343</v>
      </c>
      <c r="D251" s="127" t="s">
        <v>235</v>
      </c>
      <c r="E251" s="140" t="s">
        <v>747</v>
      </c>
    </row>
    <row r="252" spans="2:5">
      <c r="B252" s="139">
        <v>344</v>
      </c>
      <c r="D252" s="127" t="s">
        <v>236</v>
      </c>
      <c r="E252" s="140" t="s">
        <v>565</v>
      </c>
    </row>
    <row r="253" spans="2:5">
      <c r="B253" s="139">
        <v>345</v>
      </c>
      <c r="D253" s="127" t="s">
        <v>237</v>
      </c>
      <c r="E253" s="140" t="s">
        <v>748</v>
      </c>
    </row>
    <row r="254" spans="2:5">
      <c r="B254" s="139">
        <v>346</v>
      </c>
      <c r="D254" s="127" t="s">
        <v>238</v>
      </c>
      <c r="E254" s="140" t="s">
        <v>749</v>
      </c>
    </row>
    <row r="255" spans="2:5">
      <c r="B255" s="139">
        <v>347</v>
      </c>
      <c r="D255" s="127" t="s">
        <v>486</v>
      </c>
      <c r="E255" s="140" t="s">
        <v>486</v>
      </c>
    </row>
    <row r="256" spans="2:5">
      <c r="B256" s="139">
        <v>348</v>
      </c>
      <c r="D256" s="127" t="s">
        <v>239</v>
      </c>
      <c r="E256" s="140" t="s">
        <v>566</v>
      </c>
    </row>
    <row r="257" spans="2:5" ht="26.4">
      <c r="B257" s="139">
        <v>349</v>
      </c>
      <c r="D257" s="127" t="s">
        <v>240</v>
      </c>
      <c r="E257" s="140" t="s">
        <v>750</v>
      </c>
    </row>
    <row r="258" spans="2:5">
      <c r="B258" s="139">
        <v>350</v>
      </c>
      <c r="D258" s="127" t="s">
        <v>241</v>
      </c>
      <c r="E258" s="140" t="s">
        <v>751</v>
      </c>
    </row>
    <row r="259" spans="2:5" ht="26.4">
      <c r="B259" s="139">
        <v>351</v>
      </c>
      <c r="D259" s="127" t="s">
        <v>242</v>
      </c>
      <c r="E259" s="140" t="s">
        <v>752</v>
      </c>
    </row>
    <row r="260" spans="2:5" ht="13.8">
      <c r="B260" s="139">
        <v>352</v>
      </c>
      <c r="D260" s="134" t="s">
        <v>943</v>
      </c>
      <c r="E260" s="167" t="s">
        <v>944</v>
      </c>
    </row>
    <row r="261" spans="2:5">
      <c r="B261" s="139">
        <v>353</v>
      </c>
      <c r="D261" s="127" t="s">
        <v>487</v>
      </c>
      <c r="E261" s="140" t="s">
        <v>567</v>
      </c>
    </row>
    <row r="262" spans="2:5">
      <c r="B262" s="139">
        <v>354</v>
      </c>
      <c r="D262" s="127" t="s">
        <v>243</v>
      </c>
      <c r="E262" s="140" t="s">
        <v>753</v>
      </c>
    </row>
    <row r="263" spans="2:5">
      <c r="B263" s="139">
        <v>355</v>
      </c>
      <c r="D263" s="127" t="s">
        <v>488</v>
      </c>
      <c r="E263" s="140" t="s">
        <v>754</v>
      </c>
    </row>
    <row r="264" spans="2:5">
      <c r="B264" s="139">
        <v>356</v>
      </c>
      <c r="D264" s="127" t="s">
        <v>244</v>
      </c>
      <c r="E264" s="140" t="s">
        <v>568</v>
      </c>
    </row>
    <row r="265" spans="2:5">
      <c r="B265" s="139">
        <v>357</v>
      </c>
      <c r="D265" s="127" t="s">
        <v>245</v>
      </c>
      <c r="E265" s="140" t="s">
        <v>569</v>
      </c>
    </row>
    <row r="266" spans="2:5">
      <c r="B266" s="139">
        <v>358</v>
      </c>
      <c r="D266" s="127" t="s">
        <v>246</v>
      </c>
      <c r="E266" s="140" t="s">
        <v>755</v>
      </c>
    </row>
    <row r="267" spans="2:5">
      <c r="B267" s="139">
        <v>359</v>
      </c>
      <c r="D267" s="127" t="s">
        <v>247</v>
      </c>
      <c r="E267" s="140" t="s">
        <v>756</v>
      </c>
    </row>
    <row r="268" spans="2:5">
      <c r="B268" s="139">
        <v>360</v>
      </c>
      <c r="D268" s="127" t="s">
        <v>248</v>
      </c>
      <c r="E268" s="140" t="s">
        <v>757</v>
      </c>
    </row>
    <row r="269" spans="2:5">
      <c r="B269" s="139">
        <v>361</v>
      </c>
      <c r="D269" s="127" t="s">
        <v>249</v>
      </c>
    </row>
    <row r="270" spans="2:5">
      <c r="B270" s="139">
        <v>362</v>
      </c>
      <c r="D270" s="127" t="s">
        <v>489</v>
      </c>
      <c r="E270" s="140" t="s">
        <v>758</v>
      </c>
    </row>
    <row r="271" spans="2:5" ht="26.4">
      <c r="B271" s="139">
        <v>363</v>
      </c>
      <c r="D271" s="127" t="s">
        <v>490</v>
      </c>
      <c r="E271" s="140" t="s">
        <v>759</v>
      </c>
    </row>
    <row r="272" spans="2:5" ht="26.4">
      <c r="B272" s="139">
        <v>364</v>
      </c>
      <c r="D272" s="127" t="s">
        <v>250</v>
      </c>
      <c r="E272" s="140" t="s">
        <v>760</v>
      </c>
    </row>
    <row r="273" spans="2:5">
      <c r="B273" s="139">
        <v>365</v>
      </c>
      <c r="D273" s="127" t="s">
        <v>251</v>
      </c>
      <c r="E273" s="140" t="s">
        <v>761</v>
      </c>
    </row>
    <row r="274" spans="2:5">
      <c r="B274" s="139">
        <v>366</v>
      </c>
      <c r="D274" s="127" t="s">
        <v>252</v>
      </c>
      <c r="E274" s="140" t="s">
        <v>762</v>
      </c>
    </row>
    <row r="275" spans="2:5">
      <c r="B275" s="139">
        <v>367</v>
      </c>
      <c r="D275" s="127" t="s">
        <v>253</v>
      </c>
      <c r="E275" s="140" t="s">
        <v>570</v>
      </c>
    </row>
    <row r="276" spans="2:5">
      <c r="B276" s="139">
        <v>368</v>
      </c>
      <c r="D276" s="127" t="s">
        <v>254</v>
      </c>
      <c r="E276" s="140" t="s">
        <v>571</v>
      </c>
    </row>
    <row r="277" spans="2:5">
      <c r="B277" s="139">
        <v>369</v>
      </c>
      <c r="D277" s="127" t="s">
        <v>255</v>
      </c>
      <c r="E277" s="140" t="s">
        <v>763</v>
      </c>
    </row>
    <row r="278" spans="2:5">
      <c r="B278" s="139">
        <v>370</v>
      </c>
      <c r="D278" s="127" t="s">
        <v>256</v>
      </c>
      <c r="E278" s="140" t="s">
        <v>572</v>
      </c>
    </row>
    <row r="279" spans="2:5">
      <c r="B279" s="139">
        <v>371</v>
      </c>
      <c r="D279" s="127" t="s">
        <v>257</v>
      </c>
      <c r="E279" s="140" t="s">
        <v>764</v>
      </c>
    </row>
    <row r="280" spans="2:5">
      <c r="B280" s="139">
        <v>372</v>
      </c>
      <c r="D280" s="127" t="s">
        <v>258</v>
      </c>
      <c r="E280" s="140" t="s">
        <v>573</v>
      </c>
    </row>
    <row r="281" spans="2:5">
      <c r="B281" s="139">
        <v>373</v>
      </c>
      <c r="D281" s="127" t="s">
        <v>259</v>
      </c>
      <c r="E281" s="140" t="s">
        <v>574</v>
      </c>
    </row>
    <row r="282" spans="2:5">
      <c r="B282" s="139">
        <v>374</v>
      </c>
      <c r="D282" s="127" t="s">
        <v>260</v>
      </c>
      <c r="E282" s="140" t="s">
        <v>765</v>
      </c>
    </row>
    <row r="283" spans="2:5">
      <c r="B283" s="139">
        <v>375</v>
      </c>
      <c r="D283" s="127" t="s">
        <v>261</v>
      </c>
      <c r="E283" s="140" t="s">
        <v>766</v>
      </c>
    </row>
    <row r="284" spans="2:5">
      <c r="B284" s="139">
        <v>376</v>
      </c>
      <c r="D284" s="127" t="s">
        <v>262</v>
      </c>
      <c r="E284" s="140" t="s">
        <v>767</v>
      </c>
    </row>
    <row r="285" spans="2:5">
      <c r="B285" s="139">
        <v>377</v>
      </c>
      <c r="D285" s="127" t="s">
        <v>263</v>
      </c>
      <c r="E285" s="140" t="s">
        <v>768</v>
      </c>
    </row>
    <row r="286" spans="2:5">
      <c r="B286" s="139">
        <v>378</v>
      </c>
      <c r="D286" s="127" t="s">
        <v>264</v>
      </c>
      <c r="E286" s="140" t="s">
        <v>575</v>
      </c>
    </row>
    <row r="287" spans="2:5">
      <c r="B287" s="139">
        <v>379</v>
      </c>
      <c r="D287" s="127" t="s">
        <v>265</v>
      </c>
      <c r="E287" s="140" t="s">
        <v>945</v>
      </c>
    </row>
    <row r="288" spans="2:5">
      <c r="B288" s="139">
        <v>380</v>
      </c>
      <c r="D288" s="127" t="s">
        <v>266</v>
      </c>
      <c r="E288" s="140" t="s">
        <v>769</v>
      </c>
    </row>
    <row r="289" spans="2:5">
      <c r="B289" s="139">
        <v>381</v>
      </c>
      <c r="D289" s="127" t="s">
        <v>267</v>
      </c>
      <c r="E289" s="140" t="s">
        <v>576</v>
      </c>
    </row>
    <row r="290" spans="2:5" ht="39.6">
      <c r="B290" s="139">
        <v>382</v>
      </c>
      <c r="D290" s="127" t="s">
        <v>268</v>
      </c>
      <c r="E290" s="140" t="s">
        <v>770</v>
      </c>
    </row>
    <row r="291" spans="2:5">
      <c r="B291" s="139">
        <v>383</v>
      </c>
      <c r="D291" s="127" t="s">
        <v>269</v>
      </c>
      <c r="E291" s="140" t="s">
        <v>771</v>
      </c>
    </row>
    <row r="292" spans="2:5" ht="26.4">
      <c r="B292" s="139">
        <v>384</v>
      </c>
      <c r="D292" s="127" t="s">
        <v>270</v>
      </c>
      <c r="E292" s="140" t="s">
        <v>772</v>
      </c>
    </row>
    <row r="293" spans="2:5">
      <c r="B293" s="139">
        <v>385</v>
      </c>
      <c r="D293" s="127" t="s">
        <v>271</v>
      </c>
      <c r="E293" s="140" t="s">
        <v>773</v>
      </c>
    </row>
    <row r="294" spans="2:5" ht="26.4">
      <c r="B294" s="139">
        <v>386</v>
      </c>
      <c r="D294" s="127" t="s">
        <v>272</v>
      </c>
      <c r="E294" s="140" t="s">
        <v>774</v>
      </c>
    </row>
    <row r="295" spans="2:5" ht="26.4">
      <c r="B295" s="139">
        <v>387</v>
      </c>
      <c r="D295" s="127" t="s">
        <v>273</v>
      </c>
      <c r="E295" s="140" t="s">
        <v>775</v>
      </c>
    </row>
    <row r="296" spans="2:5" ht="26.4">
      <c r="B296" s="139">
        <v>388</v>
      </c>
      <c r="D296" s="127" t="s">
        <v>274</v>
      </c>
      <c r="E296" s="140" t="s">
        <v>776</v>
      </c>
    </row>
    <row r="297" spans="2:5" ht="26.4">
      <c r="B297" s="139">
        <v>389</v>
      </c>
      <c r="D297" s="127" t="s">
        <v>275</v>
      </c>
      <c r="E297" s="140" t="s">
        <v>777</v>
      </c>
    </row>
    <row r="298" spans="2:5" ht="26.4">
      <c r="B298" s="139">
        <v>390</v>
      </c>
      <c r="D298" s="127" t="s">
        <v>276</v>
      </c>
      <c r="E298" s="140" t="s">
        <v>778</v>
      </c>
    </row>
    <row r="299" spans="2:5" ht="26.4">
      <c r="B299" s="139">
        <v>391</v>
      </c>
      <c r="D299" s="127" t="s">
        <v>277</v>
      </c>
      <c r="E299" s="140" t="s">
        <v>779</v>
      </c>
    </row>
    <row r="300" spans="2:5" ht="26.4">
      <c r="B300" s="139">
        <v>392</v>
      </c>
      <c r="D300" s="127" t="s">
        <v>278</v>
      </c>
      <c r="E300" s="140" t="s">
        <v>780</v>
      </c>
    </row>
    <row r="301" spans="2:5" ht="26.4">
      <c r="B301" s="139">
        <v>393</v>
      </c>
      <c r="D301" s="127" t="s">
        <v>279</v>
      </c>
      <c r="E301" s="140" t="s">
        <v>781</v>
      </c>
    </row>
    <row r="302" spans="2:5" ht="26.4">
      <c r="B302" s="139">
        <v>394</v>
      </c>
      <c r="D302" s="127" t="s">
        <v>280</v>
      </c>
      <c r="E302" s="140" t="s">
        <v>782</v>
      </c>
    </row>
    <row r="303" spans="2:5" ht="26.4">
      <c r="B303" s="139">
        <v>395</v>
      </c>
      <c r="D303" s="127" t="s">
        <v>281</v>
      </c>
      <c r="E303" s="140" t="s">
        <v>783</v>
      </c>
    </row>
    <row r="304" spans="2:5" ht="26.4">
      <c r="B304" s="139">
        <v>396</v>
      </c>
      <c r="D304" s="127" t="s">
        <v>282</v>
      </c>
      <c r="E304" s="140" t="s">
        <v>784</v>
      </c>
    </row>
    <row r="305" spans="2:5" ht="26.4">
      <c r="B305" s="139">
        <v>397</v>
      </c>
      <c r="D305" s="127" t="s">
        <v>283</v>
      </c>
      <c r="E305" s="140" t="s">
        <v>785</v>
      </c>
    </row>
    <row r="306" spans="2:5" ht="26.4">
      <c r="B306" s="139">
        <v>398</v>
      </c>
      <c r="D306" s="127" t="s">
        <v>284</v>
      </c>
      <c r="E306" s="140" t="s">
        <v>786</v>
      </c>
    </row>
    <row r="307" spans="2:5" ht="26.4">
      <c r="B307" s="139">
        <v>399</v>
      </c>
      <c r="D307" s="127" t="s">
        <v>285</v>
      </c>
      <c r="E307" s="140" t="s">
        <v>787</v>
      </c>
    </row>
    <row r="308" spans="2:5" ht="26.4">
      <c r="B308" s="139">
        <v>400</v>
      </c>
      <c r="D308" s="127" t="s">
        <v>286</v>
      </c>
      <c r="E308" s="140" t="s">
        <v>788</v>
      </c>
    </row>
    <row r="309" spans="2:5" ht="26.4">
      <c r="B309" s="139">
        <v>401</v>
      </c>
      <c r="D309" s="127" t="s">
        <v>287</v>
      </c>
      <c r="E309" s="140" t="s">
        <v>789</v>
      </c>
    </row>
    <row r="310" spans="2:5" ht="26.4">
      <c r="B310" s="139">
        <v>402</v>
      </c>
      <c r="D310" s="127" t="s">
        <v>288</v>
      </c>
      <c r="E310" s="140" t="s">
        <v>790</v>
      </c>
    </row>
    <row r="311" spans="2:5" ht="26.4">
      <c r="B311" s="139">
        <v>403</v>
      </c>
      <c r="D311" s="127" t="s">
        <v>289</v>
      </c>
      <c r="E311" s="140" t="s">
        <v>791</v>
      </c>
    </row>
    <row r="312" spans="2:5" ht="26.4">
      <c r="B312" s="139">
        <v>404</v>
      </c>
      <c r="D312" s="127" t="s">
        <v>290</v>
      </c>
      <c r="E312" s="140" t="s">
        <v>792</v>
      </c>
    </row>
    <row r="313" spans="2:5">
      <c r="B313" s="139">
        <v>405</v>
      </c>
      <c r="D313" s="127" t="s">
        <v>491</v>
      </c>
      <c r="E313" s="140" t="s">
        <v>793</v>
      </c>
    </row>
    <row r="314" spans="2:5">
      <c r="B314" s="139">
        <v>406</v>
      </c>
      <c r="D314" s="127" t="s">
        <v>492</v>
      </c>
      <c r="E314" s="140" t="s">
        <v>793</v>
      </c>
    </row>
    <row r="315" spans="2:5">
      <c r="B315" s="139">
        <v>407</v>
      </c>
      <c r="D315" s="127" t="s">
        <v>291</v>
      </c>
      <c r="E315" s="140" t="s">
        <v>794</v>
      </c>
    </row>
    <row r="316" spans="2:5" ht="26.4">
      <c r="B316" s="139">
        <v>408</v>
      </c>
      <c r="D316" s="127" t="s">
        <v>292</v>
      </c>
      <c r="E316" s="140" t="s">
        <v>795</v>
      </c>
    </row>
    <row r="317" spans="2:5">
      <c r="B317" s="139">
        <v>409</v>
      </c>
      <c r="D317" s="127" t="s">
        <v>293</v>
      </c>
      <c r="E317" s="140" t="s">
        <v>796</v>
      </c>
    </row>
    <row r="318" spans="2:5" ht="26.4">
      <c r="B318" s="139">
        <v>410</v>
      </c>
      <c r="D318" s="127" t="s">
        <v>294</v>
      </c>
      <c r="E318" s="140" t="s">
        <v>797</v>
      </c>
    </row>
    <row r="319" spans="2:5">
      <c r="B319" s="139">
        <v>411</v>
      </c>
      <c r="D319" s="127" t="s">
        <v>493</v>
      </c>
      <c r="E319" s="140" t="s">
        <v>798</v>
      </c>
    </row>
    <row r="320" spans="2:5" ht="26.4">
      <c r="B320" s="139">
        <v>412</v>
      </c>
      <c r="D320" s="127" t="s">
        <v>494</v>
      </c>
      <c r="E320" s="140" t="s">
        <v>799</v>
      </c>
    </row>
    <row r="321" spans="1:6">
      <c r="B321" s="139">
        <v>413</v>
      </c>
      <c r="D321" s="127" t="s">
        <v>295</v>
      </c>
      <c r="E321" s="140" t="s">
        <v>800</v>
      </c>
    </row>
    <row r="322" spans="1:6" ht="26.4">
      <c r="B322" s="139">
        <v>414</v>
      </c>
      <c r="D322" s="127" t="s">
        <v>296</v>
      </c>
      <c r="E322" s="140" t="s">
        <v>801</v>
      </c>
    </row>
    <row r="323" spans="1:6">
      <c r="B323" s="139">
        <v>415</v>
      </c>
      <c r="D323" s="127" t="s">
        <v>297</v>
      </c>
      <c r="E323" s="140" t="s">
        <v>802</v>
      </c>
    </row>
    <row r="324" spans="1:6" ht="39.6">
      <c r="B324" s="139">
        <v>416</v>
      </c>
      <c r="D324" s="127" t="s">
        <v>298</v>
      </c>
      <c r="E324" s="140" t="s">
        <v>803</v>
      </c>
    </row>
    <row r="325" spans="1:6">
      <c r="B325" s="139">
        <v>417</v>
      </c>
      <c r="D325" s="127" t="s">
        <v>299</v>
      </c>
      <c r="E325" s="140" t="s">
        <v>804</v>
      </c>
    </row>
    <row r="326" spans="1:6" ht="26.4">
      <c r="B326" s="139">
        <v>418</v>
      </c>
      <c r="D326" s="127" t="s">
        <v>300</v>
      </c>
      <c r="E326" s="140" t="s">
        <v>805</v>
      </c>
    </row>
    <row r="327" spans="1:6" ht="26.4">
      <c r="B327" s="139">
        <v>419</v>
      </c>
      <c r="D327" s="127" t="s">
        <v>301</v>
      </c>
      <c r="E327" s="140" t="s">
        <v>806</v>
      </c>
    </row>
    <row r="328" spans="1:6" ht="26.4">
      <c r="B328" s="139">
        <v>420</v>
      </c>
      <c r="D328" s="127" t="s">
        <v>302</v>
      </c>
      <c r="E328" s="140" t="s">
        <v>807</v>
      </c>
    </row>
    <row r="329" spans="1:6">
      <c r="B329" s="139">
        <v>421</v>
      </c>
      <c r="D329" s="127" t="s">
        <v>303</v>
      </c>
      <c r="E329" s="140" t="s">
        <v>808</v>
      </c>
    </row>
    <row r="330" spans="1:6">
      <c r="B330" s="139">
        <v>422</v>
      </c>
      <c r="D330" s="127" t="s">
        <v>304</v>
      </c>
      <c r="E330" s="140" t="s">
        <v>809</v>
      </c>
    </row>
    <row r="331" spans="1:6">
      <c r="B331" s="139">
        <v>423</v>
      </c>
      <c r="D331" s="127" t="s">
        <v>305</v>
      </c>
      <c r="E331" s="140" t="s">
        <v>810</v>
      </c>
    </row>
    <row r="332" spans="1:6">
      <c r="B332" s="139">
        <v>424</v>
      </c>
      <c r="D332" s="127" t="s">
        <v>306</v>
      </c>
      <c r="E332" s="140" t="s">
        <v>811</v>
      </c>
    </row>
    <row r="333" spans="1:6">
      <c r="B333" s="139">
        <v>425</v>
      </c>
      <c r="D333" s="127" t="s">
        <v>307</v>
      </c>
      <c r="E333" s="140" t="s">
        <v>812</v>
      </c>
    </row>
    <row r="334" spans="1:6">
      <c r="B334" s="139">
        <v>426</v>
      </c>
      <c r="D334" s="127" t="s">
        <v>308</v>
      </c>
      <c r="E334" s="140" t="s">
        <v>813</v>
      </c>
    </row>
    <row r="335" spans="1:6">
      <c r="B335" s="139">
        <v>427</v>
      </c>
      <c r="D335" s="127" t="s">
        <v>495</v>
      </c>
      <c r="E335" s="140" t="s">
        <v>814</v>
      </c>
    </row>
    <row r="336" spans="1:6" ht="43.2">
      <c r="A336" s="134"/>
      <c r="B336" s="139">
        <v>428</v>
      </c>
      <c r="C336" s="137" t="s">
        <v>910</v>
      </c>
      <c r="D336" s="134" t="s">
        <v>946</v>
      </c>
      <c r="E336" s="134" t="s">
        <v>947</v>
      </c>
      <c r="F336" s="135"/>
    </row>
    <row r="337" spans="2:5" ht="39.6">
      <c r="B337" s="139">
        <v>429</v>
      </c>
      <c r="D337" s="127" t="s">
        <v>309</v>
      </c>
      <c r="E337" s="140" t="s">
        <v>815</v>
      </c>
    </row>
    <row r="338" spans="2:5">
      <c r="B338" s="139">
        <v>430</v>
      </c>
      <c r="D338" s="127" t="s">
        <v>310</v>
      </c>
      <c r="E338" s="140" t="s">
        <v>816</v>
      </c>
    </row>
    <row r="339" spans="2:5">
      <c r="B339" s="139">
        <v>431</v>
      </c>
      <c r="D339" s="127" t="s">
        <v>311</v>
      </c>
      <c r="E339" s="140" t="s">
        <v>817</v>
      </c>
    </row>
    <row r="340" spans="2:5">
      <c r="B340" s="139">
        <v>432</v>
      </c>
      <c r="D340" s="127" t="s">
        <v>312</v>
      </c>
      <c r="E340" s="140" t="s">
        <v>818</v>
      </c>
    </row>
    <row r="341" spans="2:5" ht="26.4">
      <c r="B341" s="139">
        <v>433</v>
      </c>
      <c r="D341" s="127" t="s">
        <v>313</v>
      </c>
      <c r="E341" s="140" t="s">
        <v>819</v>
      </c>
    </row>
    <row r="342" spans="2:5">
      <c r="B342" s="139">
        <v>434</v>
      </c>
      <c r="D342" s="127" t="s">
        <v>314</v>
      </c>
      <c r="E342" s="140" t="s">
        <v>820</v>
      </c>
    </row>
    <row r="343" spans="2:5">
      <c r="B343" s="139">
        <v>435</v>
      </c>
      <c r="D343" s="127" t="s">
        <v>315</v>
      </c>
      <c r="E343" s="140" t="s">
        <v>821</v>
      </c>
    </row>
    <row r="344" spans="2:5">
      <c r="B344" s="139">
        <v>436</v>
      </c>
      <c r="D344" s="127" t="s">
        <v>316</v>
      </c>
      <c r="E344" s="140" t="s">
        <v>822</v>
      </c>
    </row>
    <row r="345" spans="2:5">
      <c r="B345" s="139">
        <v>437</v>
      </c>
      <c r="D345" s="127" t="s">
        <v>317</v>
      </c>
      <c r="E345" s="140" t="s">
        <v>823</v>
      </c>
    </row>
    <row r="346" spans="2:5">
      <c r="B346" s="139">
        <v>438</v>
      </c>
      <c r="D346" s="127" t="s">
        <v>496</v>
      </c>
      <c r="E346" s="140" t="s">
        <v>824</v>
      </c>
    </row>
    <row r="347" spans="2:5">
      <c r="B347" s="139">
        <v>439</v>
      </c>
      <c r="D347" s="127" t="s">
        <v>318</v>
      </c>
      <c r="E347" s="140" t="s">
        <v>825</v>
      </c>
    </row>
    <row r="348" spans="2:5">
      <c r="B348" s="139">
        <v>440</v>
      </c>
      <c r="D348" s="127" t="s">
        <v>497</v>
      </c>
      <c r="E348" s="140" t="s">
        <v>826</v>
      </c>
    </row>
    <row r="349" spans="2:5" ht="26.4">
      <c r="B349" s="139">
        <v>441</v>
      </c>
      <c r="D349" s="127" t="s">
        <v>319</v>
      </c>
      <c r="E349" s="140" t="s">
        <v>827</v>
      </c>
    </row>
    <row r="350" spans="2:5">
      <c r="B350" s="139">
        <v>442</v>
      </c>
      <c r="D350" s="127" t="s">
        <v>320</v>
      </c>
      <c r="E350" s="140" t="s">
        <v>828</v>
      </c>
    </row>
    <row r="351" spans="2:5">
      <c r="B351" s="139">
        <v>443</v>
      </c>
      <c r="D351" s="127" t="s">
        <v>321</v>
      </c>
      <c r="E351" s="140" t="s">
        <v>829</v>
      </c>
    </row>
    <row r="352" spans="2:5">
      <c r="B352" s="139">
        <v>444</v>
      </c>
      <c r="D352" s="127" t="s">
        <v>322</v>
      </c>
      <c r="E352" s="140" t="s">
        <v>830</v>
      </c>
    </row>
    <row r="353" spans="2:5" ht="39.6">
      <c r="B353" s="139">
        <v>445</v>
      </c>
      <c r="D353" s="127" t="s">
        <v>389</v>
      </c>
      <c r="E353" s="140" t="s">
        <v>831</v>
      </c>
    </row>
    <row r="354" spans="2:5">
      <c r="B354" s="139">
        <v>446</v>
      </c>
      <c r="D354" s="127" t="s">
        <v>323</v>
      </c>
      <c r="E354" s="140" t="s">
        <v>832</v>
      </c>
    </row>
    <row r="355" spans="2:5">
      <c r="B355" s="139">
        <v>447</v>
      </c>
      <c r="D355" s="127" t="s">
        <v>324</v>
      </c>
      <c r="E355" s="140" t="s">
        <v>833</v>
      </c>
    </row>
    <row r="356" spans="2:5">
      <c r="B356" s="139">
        <v>448</v>
      </c>
      <c r="D356" s="127" t="s">
        <v>325</v>
      </c>
      <c r="E356" s="140" t="s">
        <v>834</v>
      </c>
    </row>
    <row r="357" spans="2:5">
      <c r="B357" s="139">
        <v>449</v>
      </c>
      <c r="D357" s="127" t="s">
        <v>326</v>
      </c>
      <c r="E357" s="140" t="s">
        <v>835</v>
      </c>
    </row>
    <row r="358" spans="2:5">
      <c r="B358" s="139">
        <v>450</v>
      </c>
      <c r="D358" s="127" t="s">
        <v>327</v>
      </c>
      <c r="E358" s="140" t="s">
        <v>836</v>
      </c>
    </row>
    <row r="359" spans="2:5" ht="26.4">
      <c r="B359" s="139">
        <v>451</v>
      </c>
      <c r="D359" s="127" t="s">
        <v>328</v>
      </c>
      <c r="E359" s="140" t="s">
        <v>837</v>
      </c>
    </row>
    <row r="360" spans="2:5">
      <c r="B360" s="139">
        <v>452</v>
      </c>
      <c r="D360" s="127" t="s">
        <v>329</v>
      </c>
      <c r="E360" s="140" t="s">
        <v>838</v>
      </c>
    </row>
    <row r="361" spans="2:5">
      <c r="B361" s="139">
        <v>453</v>
      </c>
      <c r="D361" s="127" t="s">
        <v>330</v>
      </c>
      <c r="E361" s="140" t="s">
        <v>839</v>
      </c>
    </row>
    <row r="362" spans="2:5">
      <c r="B362" s="139">
        <v>454</v>
      </c>
      <c r="D362" s="127" t="s">
        <v>331</v>
      </c>
      <c r="E362" s="140" t="s">
        <v>840</v>
      </c>
    </row>
    <row r="363" spans="2:5" ht="26.4">
      <c r="B363" s="139">
        <v>455</v>
      </c>
      <c r="D363" s="127" t="s">
        <v>498</v>
      </c>
      <c r="E363" s="140" t="s">
        <v>841</v>
      </c>
    </row>
    <row r="364" spans="2:5">
      <c r="B364" s="139">
        <v>456</v>
      </c>
      <c r="D364" s="127" t="s">
        <v>332</v>
      </c>
      <c r="E364" s="140" t="s">
        <v>577</v>
      </c>
    </row>
    <row r="365" spans="2:5">
      <c r="B365" s="139">
        <v>457</v>
      </c>
      <c r="D365" s="127" t="s">
        <v>333</v>
      </c>
      <c r="E365" s="140" t="s">
        <v>842</v>
      </c>
    </row>
    <row r="366" spans="2:5">
      <c r="B366" s="139">
        <v>458</v>
      </c>
      <c r="D366" s="127" t="s">
        <v>334</v>
      </c>
      <c r="E366" s="140" t="s">
        <v>843</v>
      </c>
    </row>
    <row r="367" spans="2:5">
      <c r="B367" s="139">
        <v>459</v>
      </c>
      <c r="D367" s="127" t="s">
        <v>499</v>
      </c>
      <c r="E367" s="140" t="s">
        <v>844</v>
      </c>
    </row>
    <row r="368" spans="2:5" ht="26.4">
      <c r="B368" s="139">
        <v>460</v>
      </c>
      <c r="D368" s="127" t="s">
        <v>500</v>
      </c>
      <c r="E368" s="140" t="s">
        <v>845</v>
      </c>
    </row>
    <row r="369" spans="1:6">
      <c r="B369" s="139">
        <v>461</v>
      </c>
      <c r="D369" s="127" t="s">
        <v>335</v>
      </c>
      <c r="E369" s="140" t="s">
        <v>578</v>
      </c>
    </row>
    <row r="370" spans="1:6">
      <c r="B370" s="139">
        <v>462</v>
      </c>
      <c r="D370" s="127" t="s">
        <v>336</v>
      </c>
      <c r="E370" s="140" t="s">
        <v>846</v>
      </c>
    </row>
    <row r="371" spans="1:6">
      <c r="B371" s="139">
        <v>463</v>
      </c>
      <c r="D371" s="127" t="s">
        <v>337</v>
      </c>
      <c r="E371" s="140" t="s">
        <v>847</v>
      </c>
    </row>
    <row r="372" spans="1:6" ht="39.6">
      <c r="B372" s="139">
        <v>464</v>
      </c>
      <c r="D372" s="127" t="s">
        <v>338</v>
      </c>
      <c r="E372" s="140" t="s">
        <v>848</v>
      </c>
    </row>
    <row r="373" spans="1:6">
      <c r="B373" s="139">
        <v>465</v>
      </c>
      <c r="D373" s="127" t="s">
        <v>339</v>
      </c>
      <c r="E373" s="140" t="s">
        <v>849</v>
      </c>
    </row>
    <row r="374" spans="1:6">
      <c r="A374" s="129"/>
      <c r="B374" s="139">
        <v>466</v>
      </c>
      <c r="C374" s="138" t="s">
        <v>509</v>
      </c>
      <c r="D374" s="128" t="s">
        <v>890</v>
      </c>
      <c r="E374" s="128" t="s">
        <v>948</v>
      </c>
      <c r="F374" s="130"/>
    </row>
    <row r="375" spans="1:6">
      <c r="A375" s="129"/>
      <c r="B375" s="139">
        <v>467</v>
      </c>
      <c r="C375" s="138" t="s">
        <v>509</v>
      </c>
      <c r="D375" s="128" t="s">
        <v>949</v>
      </c>
      <c r="E375" s="128" t="s">
        <v>891</v>
      </c>
      <c r="F375" s="130"/>
    </row>
    <row r="376" spans="1:6" ht="14.4">
      <c r="B376" s="139">
        <v>468</v>
      </c>
      <c r="D376" s="127" t="s">
        <v>340</v>
      </c>
      <c r="E376" s="168" t="s">
        <v>897</v>
      </c>
    </row>
    <row r="377" spans="1:6">
      <c r="B377" s="139">
        <v>469</v>
      </c>
      <c r="D377" s="127" t="s">
        <v>341</v>
      </c>
      <c r="E377" s="140" t="s">
        <v>850</v>
      </c>
    </row>
    <row r="378" spans="1:6">
      <c r="B378" s="139">
        <v>470</v>
      </c>
      <c r="D378" s="127" t="s">
        <v>342</v>
      </c>
      <c r="E378" s="140" t="s">
        <v>579</v>
      </c>
    </row>
    <row r="379" spans="1:6" ht="26.4">
      <c r="B379" s="139">
        <v>471</v>
      </c>
      <c r="D379" s="127" t="s">
        <v>343</v>
      </c>
      <c r="E379" s="140" t="s">
        <v>851</v>
      </c>
    </row>
    <row r="380" spans="1:6">
      <c r="B380" s="139">
        <v>472</v>
      </c>
      <c r="D380" s="127" t="s">
        <v>344</v>
      </c>
      <c r="E380" s="140" t="s">
        <v>580</v>
      </c>
    </row>
    <row r="381" spans="1:6" ht="26.4">
      <c r="B381" s="139">
        <v>473</v>
      </c>
      <c r="D381" s="127" t="s">
        <v>345</v>
      </c>
      <c r="E381" s="140" t="s">
        <v>852</v>
      </c>
    </row>
    <row r="382" spans="1:6">
      <c r="B382" s="139">
        <v>474</v>
      </c>
      <c r="D382" s="127" t="s">
        <v>346</v>
      </c>
      <c r="E382" s="140" t="s">
        <v>581</v>
      </c>
    </row>
    <row r="383" spans="1:6">
      <c r="B383" s="139">
        <v>475</v>
      </c>
      <c r="D383" s="127" t="s">
        <v>347</v>
      </c>
      <c r="E383" s="140" t="s">
        <v>853</v>
      </c>
    </row>
    <row r="384" spans="1:6">
      <c r="B384" s="139">
        <v>476</v>
      </c>
      <c r="D384" s="127" t="s">
        <v>348</v>
      </c>
      <c r="E384" s="140" t="s">
        <v>854</v>
      </c>
    </row>
    <row r="385" spans="2:5">
      <c r="B385" s="139">
        <v>477</v>
      </c>
      <c r="D385" s="127" t="s">
        <v>349</v>
      </c>
      <c r="E385" s="140" t="s">
        <v>855</v>
      </c>
    </row>
    <row r="386" spans="2:5">
      <c r="B386" s="139">
        <v>478</v>
      </c>
      <c r="D386" s="127" t="s">
        <v>350</v>
      </c>
      <c r="E386" s="140" t="s">
        <v>856</v>
      </c>
    </row>
    <row r="387" spans="2:5">
      <c r="B387" s="139">
        <v>479</v>
      </c>
      <c r="D387" s="127" t="s">
        <v>351</v>
      </c>
      <c r="E387" s="140" t="s">
        <v>857</v>
      </c>
    </row>
    <row r="388" spans="2:5">
      <c r="B388" s="139">
        <v>480</v>
      </c>
      <c r="D388" s="127" t="s">
        <v>352</v>
      </c>
      <c r="E388" s="140" t="s">
        <v>352</v>
      </c>
    </row>
    <row r="389" spans="2:5">
      <c r="B389" s="139">
        <v>481</v>
      </c>
      <c r="D389" s="127" t="s">
        <v>501</v>
      </c>
      <c r="E389" s="140" t="s">
        <v>858</v>
      </c>
    </row>
    <row r="390" spans="2:5" ht="26.4">
      <c r="B390" s="139">
        <v>482</v>
      </c>
      <c r="D390" s="127" t="s">
        <v>353</v>
      </c>
      <c r="E390" s="140" t="s">
        <v>859</v>
      </c>
    </row>
    <row r="391" spans="2:5">
      <c r="B391" s="139">
        <v>483</v>
      </c>
      <c r="D391" s="127" t="s">
        <v>354</v>
      </c>
      <c r="E391" s="140" t="s">
        <v>354</v>
      </c>
    </row>
    <row r="392" spans="2:5">
      <c r="B392" s="139">
        <v>484</v>
      </c>
      <c r="D392" s="127" t="s">
        <v>502</v>
      </c>
    </row>
    <row r="393" spans="2:5">
      <c r="B393" s="139">
        <v>485</v>
      </c>
      <c r="D393" s="127" t="s">
        <v>355</v>
      </c>
      <c r="E393" s="140" t="s">
        <v>582</v>
      </c>
    </row>
    <row r="394" spans="2:5">
      <c r="B394" s="139">
        <v>486</v>
      </c>
      <c r="D394" s="127" t="s">
        <v>503</v>
      </c>
      <c r="E394" s="140" t="s">
        <v>583</v>
      </c>
    </row>
    <row r="395" spans="2:5">
      <c r="B395" s="139">
        <v>487</v>
      </c>
      <c r="D395" s="127" t="s">
        <v>504</v>
      </c>
      <c r="E395" s="140" t="s">
        <v>584</v>
      </c>
    </row>
    <row r="396" spans="2:5">
      <c r="B396" s="139">
        <v>488</v>
      </c>
      <c r="D396" s="127" t="s">
        <v>505</v>
      </c>
      <c r="E396" s="140" t="s">
        <v>583</v>
      </c>
    </row>
    <row r="397" spans="2:5">
      <c r="B397" s="139">
        <v>489</v>
      </c>
      <c r="D397" s="127" t="s">
        <v>356</v>
      </c>
      <c r="E397" s="140" t="s">
        <v>585</v>
      </c>
    </row>
    <row r="398" spans="2:5">
      <c r="B398" s="139">
        <v>490</v>
      </c>
      <c r="D398" s="127" t="s">
        <v>357</v>
      </c>
      <c r="E398" s="140" t="s">
        <v>860</v>
      </c>
    </row>
    <row r="399" spans="2:5">
      <c r="B399" s="139">
        <v>491</v>
      </c>
      <c r="D399" s="127" t="s">
        <v>358</v>
      </c>
      <c r="E399" s="140" t="s">
        <v>861</v>
      </c>
    </row>
    <row r="400" spans="2:5">
      <c r="B400" s="139">
        <v>492</v>
      </c>
      <c r="D400" s="127" t="s">
        <v>359</v>
      </c>
      <c r="E400" s="140" t="s">
        <v>586</v>
      </c>
    </row>
    <row r="401" spans="1:6">
      <c r="B401" s="139">
        <v>493</v>
      </c>
      <c r="D401" s="127" t="s">
        <v>360</v>
      </c>
    </row>
    <row r="402" spans="1:6">
      <c r="B402" s="139">
        <v>494</v>
      </c>
      <c r="D402" s="127" t="s">
        <v>361</v>
      </c>
    </row>
    <row r="403" spans="1:6">
      <c r="B403" s="139">
        <v>495</v>
      </c>
      <c r="D403" s="127" t="s">
        <v>362</v>
      </c>
      <c r="E403" s="140" t="s">
        <v>862</v>
      </c>
    </row>
    <row r="404" spans="1:6">
      <c r="B404" s="139">
        <v>496</v>
      </c>
      <c r="D404" s="127" t="s">
        <v>506</v>
      </c>
      <c r="E404" s="140" t="s">
        <v>863</v>
      </c>
    </row>
    <row r="405" spans="1:6">
      <c r="B405" s="139">
        <v>497</v>
      </c>
      <c r="D405" s="127" t="s">
        <v>363</v>
      </c>
      <c r="E405" s="140" t="s">
        <v>864</v>
      </c>
    </row>
    <row r="406" spans="1:6">
      <c r="B406" s="139">
        <v>498</v>
      </c>
      <c r="D406" s="127" t="s">
        <v>429</v>
      </c>
      <c r="E406" s="140" t="s">
        <v>865</v>
      </c>
    </row>
    <row r="407" spans="1:6">
      <c r="B407" s="139">
        <v>499</v>
      </c>
      <c r="D407" s="127" t="s">
        <v>364</v>
      </c>
      <c r="E407" s="140" t="s">
        <v>864</v>
      </c>
    </row>
    <row r="408" spans="1:6" ht="28.8">
      <c r="A408" s="134"/>
      <c r="B408" s="139">
        <v>500</v>
      </c>
      <c r="C408" s="134"/>
      <c r="D408" s="134" t="s">
        <v>950</v>
      </c>
      <c r="E408" s="134" t="s">
        <v>951</v>
      </c>
      <c r="F408" s="135"/>
    </row>
    <row r="409" spans="1:6">
      <c r="B409" s="139">
        <v>501</v>
      </c>
      <c r="D409" s="127" t="s">
        <v>365</v>
      </c>
      <c r="E409" s="140" t="s">
        <v>365</v>
      </c>
    </row>
    <row r="410" spans="1:6">
      <c r="B410" s="139">
        <v>502</v>
      </c>
      <c r="D410" s="127" t="s">
        <v>366</v>
      </c>
      <c r="E410" s="140" t="s">
        <v>866</v>
      </c>
    </row>
    <row r="411" spans="1:6">
      <c r="B411" s="139">
        <v>503</v>
      </c>
      <c r="D411" s="127" t="s">
        <v>367</v>
      </c>
      <c r="E411" s="140" t="s">
        <v>867</v>
      </c>
    </row>
    <row r="412" spans="1:6">
      <c r="B412" s="139">
        <v>504</v>
      </c>
      <c r="D412" s="127" t="s">
        <v>507</v>
      </c>
      <c r="E412" s="140" t="s">
        <v>868</v>
      </c>
    </row>
    <row r="413" spans="1:6">
      <c r="B413" s="139">
        <v>505</v>
      </c>
      <c r="D413" s="127" t="s">
        <v>368</v>
      </c>
      <c r="E413" s="140" t="s">
        <v>869</v>
      </c>
    </row>
    <row r="414" spans="1:6">
      <c r="B414" s="139">
        <v>506</v>
      </c>
      <c r="D414" s="127" t="s">
        <v>369</v>
      </c>
      <c r="E414" s="140" t="s">
        <v>870</v>
      </c>
    </row>
    <row r="415" spans="1:6">
      <c r="B415" s="139">
        <v>507</v>
      </c>
      <c r="D415" s="127" t="s">
        <v>370</v>
      </c>
      <c r="E415" s="140" t="s">
        <v>871</v>
      </c>
    </row>
    <row r="416" spans="1:6">
      <c r="B416" s="139">
        <v>508</v>
      </c>
      <c r="D416" s="127" t="s">
        <v>508</v>
      </c>
      <c r="E416" s="140" t="s">
        <v>872</v>
      </c>
    </row>
    <row r="417" spans="1:6" ht="26.4">
      <c r="B417" s="139">
        <v>509</v>
      </c>
      <c r="D417" s="127" t="s">
        <v>371</v>
      </c>
      <c r="E417" s="140" t="s">
        <v>873</v>
      </c>
    </row>
    <row r="418" spans="1:6">
      <c r="B418" s="139">
        <v>510</v>
      </c>
      <c r="D418" s="127" t="s">
        <v>372</v>
      </c>
      <c r="E418" s="140" t="s">
        <v>871</v>
      </c>
    </row>
    <row r="419" spans="1:6">
      <c r="B419" s="139">
        <v>511</v>
      </c>
      <c r="D419" s="127" t="s">
        <v>373</v>
      </c>
      <c r="E419" s="140" t="s">
        <v>874</v>
      </c>
    </row>
    <row r="420" spans="1:6">
      <c r="B420" s="139">
        <v>512</v>
      </c>
      <c r="D420" s="127" t="s">
        <v>374</v>
      </c>
      <c r="E420" s="140" t="s">
        <v>875</v>
      </c>
    </row>
    <row r="421" spans="1:6">
      <c r="B421" s="139">
        <v>513</v>
      </c>
      <c r="D421" s="127" t="s">
        <v>375</v>
      </c>
      <c r="E421" s="140" t="s">
        <v>876</v>
      </c>
    </row>
    <row r="422" spans="1:6" s="134" customFormat="1" ht="13.8">
      <c r="A422" s="126"/>
      <c r="B422" s="139">
        <v>514</v>
      </c>
      <c r="C422" s="136"/>
      <c r="D422" s="127" t="s">
        <v>376</v>
      </c>
      <c r="E422" s="140" t="s">
        <v>877</v>
      </c>
      <c r="F422" s="126"/>
    </row>
    <row r="423" spans="1:6" s="134" customFormat="1" ht="13.8">
      <c r="A423" s="126"/>
      <c r="B423" s="139">
        <v>515</v>
      </c>
      <c r="C423" s="136"/>
      <c r="D423" s="127" t="s">
        <v>377</v>
      </c>
      <c r="E423" s="140" t="s">
        <v>878</v>
      </c>
      <c r="F423" s="126"/>
    </row>
    <row r="424" spans="1:6" s="129" customFormat="1">
      <c r="A424" s="126"/>
      <c r="B424" s="139">
        <v>516</v>
      </c>
      <c r="C424" s="136"/>
      <c r="D424" s="127" t="s">
        <v>378</v>
      </c>
      <c r="E424" s="140" t="s">
        <v>870</v>
      </c>
      <c r="F424" s="126"/>
    </row>
    <row r="425" spans="1:6" s="129" customFormat="1" ht="26.4">
      <c r="A425" s="126"/>
      <c r="B425" s="139">
        <v>517</v>
      </c>
      <c r="C425" s="136"/>
      <c r="D425" s="127" t="s">
        <v>379</v>
      </c>
      <c r="E425" s="140" t="s">
        <v>879</v>
      </c>
      <c r="F425" s="126"/>
    </row>
    <row r="426" spans="1:6" s="129" customFormat="1" ht="39.6">
      <c r="A426" s="126"/>
      <c r="B426" s="139">
        <v>518</v>
      </c>
      <c r="C426" s="136"/>
      <c r="D426" s="127" t="s">
        <v>380</v>
      </c>
      <c r="E426" s="140" t="s">
        <v>880</v>
      </c>
      <c r="F426" s="126"/>
    </row>
    <row r="427" spans="1:6" s="129" customFormat="1">
      <c r="A427" s="126"/>
      <c r="B427" s="139">
        <v>519</v>
      </c>
      <c r="C427" s="136"/>
      <c r="D427" s="127" t="s">
        <v>381</v>
      </c>
      <c r="E427" s="140" t="s">
        <v>881</v>
      </c>
      <c r="F427" s="126"/>
    </row>
    <row r="428" spans="1:6" s="129" customFormat="1" ht="39.6">
      <c r="A428" s="126"/>
      <c r="B428" s="139">
        <v>520</v>
      </c>
      <c r="C428" s="136"/>
      <c r="D428" s="127" t="s">
        <v>382</v>
      </c>
      <c r="E428" s="140" t="s">
        <v>882</v>
      </c>
      <c r="F428" s="126"/>
    </row>
    <row r="429" spans="1:6" s="129" customFormat="1">
      <c r="A429" s="126"/>
      <c r="B429" s="139">
        <v>521</v>
      </c>
      <c r="C429" s="136"/>
      <c r="D429" s="127" t="s">
        <v>383</v>
      </c>
      <c r="E429" s="140" t="s">
        <v>883</v>
      </c>
      <c r="F429" s="126"/>
    </row>
    <row r="430" spans="1:6" s="129" customFormat="1">
      <c r="A430" s="126"/>
      <c r="B430" s="139">
        <v>522</v>
      </c>
      <c r="C430" s="136"/>
      <c r="D430" s="127" t="s">
        <v>384</v>
      </c>
      <c r="E430" s="140" t="s">
        <v>884</v>
      </c>
      <c r="F430" s="126"/>
    </row>
    <row r="431" spans="1:6" s="129" customFormat="1">
      <c r="A431" s="126"/>
      <c r="B431" s="139">
        <v>523</v>
      </c>
      <c r="C431" s="136"/>
      <c r="D431" s="127" t="s">
        <v>385</v>
      </c>
      <c r="E431" s="140" t="s">
        <v>885</v>
      </c>
      <c r="F431" s="126"/>
    </row>
    <row r="432" spans="1:6" s="129" customFormat="1">
      <c r="A432" s="126"/>
      <c r="B432" s="139">
        <v>524</v>
      </c>
      <c r="C432" s="136"/>
      <c r="D432" s="127" t="s">
        <v>386</v>
      </c>
      <c r="E432" s="140" t="s">
        <v>886</v>
      </c>
      <c r="F432" s="126"/>
    </row>
    <row r="433" spans="1:6" s="129" customFormat="1">
      <c r="A433" s="126"/>
      <c r="B433" s="139">
        <v>525</v>
      </c>
      <c r="C433" s="136"/>
      <c r="D433" s="127" t="s">
        <v>387</v>
      </c>
      <c r="E433" s="140" t="s">
        <v>887</v>
      </c>
      <c r="F433" s="126"/>
    </row>
    <row r="434" spans="1:6" s="129" customFormat="1">
      <c r="A434" s="126"/>
      <c r="B434" s="139">
        <v>526</v>
      </c>
      <c r="C434" s="136"/>
      <c r="D434" s="127" t="s">
        <v>388</v>
      </c>
      <c r="E434" s="140" t="s">
        <v>888</v>
      </c>
      <c r="F434" s="126"/>
    </row>
    <row r="435" spans="1:6">
      <c r="B435" s="139">
        <v>527</v>
      </c>
      <c r="D435" s="127" t="s">
        <v>953</v>
      </c>
      <c r="E435" s="140" t="s">
        <v>958</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30"/>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390</v>
      </c>
      <c r="B1" s="89" t="s">
        <v>391</v>
      </c>
      <c r="C1" s="90" t="s">
        <v>392</v>
      </c>
      <c r="D1" s="90" t="s">
        <v>393</v>
      </c>
      <c r="E1" s="89" t="s">
        <v>394</v>
      </c>
      <c r="F1" s="91" t="s">
        <v>395</v>
      </c>
      <c r="G1" s="91" t="s">
        <v>396</v>
      </c>
      <c r="H1" s="91" t="s">
        <v>397</v>
      </c>
    </row>
    <row r="2" spans="1:8">
      <c r="A2" s="93">
        <v>1.1000000000000001</v>
      </c>
      <c r="B2" s="94" t="s">
        <v>1077</v>
      </c>
      <c r="C2" s="95" t="s">
        <v>1166</v>
      </c>
      <c r="D2" s="95">
        <v>43521</v>
      </c>
      <c r="E2" s="96">
        <v>43535</v>
      </c>
      <c r="F2" s="95">
        <v>43521</v>
      </c>
      <c r="G2" s="95">
        <v>43526</v>
      </c>
      <c r="H2" s="92">
        <v>4</v>
      </c>
    </row>
    <row r="3" spans="1:8">
      <c r="A3" s="93">
        <v>1.1000000000000001</v>
      </c>
      <c r="B3" s="94" t="s">
        <v>1077</v>
      </c>
      <c r="C3" s="95" t="s">
        <v>1166</v>
      </c>
      <c r="D3" s="95">
        <v>43521</v>
      </c>
      <c r="E3" s="96">
        <v>43535</v>
      </c>
      <c r="F3" s="95">
        <v>43527</v>
      </c>
      <c r="G3" s="95">
        <v>43533</v>
      </c>
      <c r="H3" s="92">
        <v>5</v>
      </c>
    </row>
    <row r="4" spans="1:8">
      <c r="A4" s="93">
        <v>1.1000000000000001</v>
      </c>
      <c r="B4" s="94" t="s">
        <v>1077</v>
      </c>
      <c r="C4" s="95" t="s">
        <v>1166</v>
      </c>
      <c r="D4" s="95">
        <v>43521</v>
      </c>
      <c r="E4" s="96">
        <v>43535</v>
      </c>
      <c r="F4" s="95">
        <v>43534</v>
      </c>
      <c r="G4" s="95">
        <v>43540</v>
      </c>
      <c r="H4" s="92">
        <v>1</v>
      </c>
    </row>
    <row r="5" spans="1:8">
      <c r="A5" s="93" t="s">
        <v>955</v>
      </c>
      <c r="B5" s="94" t="s">
        <v>1054</v>
      </c>
      <c r="C5" s="95" t="s">
        <v>1166</v>
      </c>
      <c r="D5" s="95">
        <v>43530</v>
      </c>
      <c r="E5" s="96">
        <v>43535</v>
      </c>
      <c r="F5" s="95">
        <v>43527</v>
      </c>
      <c r="G5" s="95">
        <v>43533</v>
      </c>
      <c r="H5" s="92">
        <v>3</v>
      </c>
    </row>
    <row r="6" spans="1:8">
      <c r="A6" s="93" t="s">
        <v>955</v>
      </c>
      <c r="B6" s="94" t="s">
        <v>1054</v>
      </c>
      <c r="C6" s="95" t="s">
        <v>1166</v>
      </c>
      <c r="D6" s="95">
        <v>43530</v>
      </c>
      <c r="E6" s="96">
        <v>43535</v>
      </c>
      <c r="F6" s="95">
        <v>43534</v>
      </c>
      <c r="G6" s="95">
        <v>43540</v>
      </c>
      <c r="H6" s="92">
        <v>1</v>
      </c>
    </row>
    <row r="7" spans="1:8">
      <c r="A7" s="93" t="s">
        <v>972</v>
      </c>
      <c r="B7" s="94" t="s">
        <v>1055</v>
      </c>
      <c r="C7" s="95" t="s">
        <v>1166</v>
      </c>
      <c r="D7" s="95">
        <v>43530</v>
      </c>
      <c r="E7" s="96">
        <v>43535</v>
      </c>
      <c r="F7" s="95">
        <v>43527</v>
      </c>
      <c r="G7" s="95">
        <v>43533</v>
      </c>
      <c r="H7" s="92">
        <v>3</v>
      </c>
    </row>
    <row r="8" spans="1:8">
      <c r="A8" s="93" t="s">
        <v>972</v>
      </c>
      <c r="B8" s="94" t="s">
        <v>1055</v>
      </c>
      <c r="C8" s="95" t="s">
        <v>1166</v>
      </c>
      <c r="D8" s="95">
        <v>43530</v>
      </c>
      <c r="E8" s="96">
        <v>43535</v>
      </c>
      <c r="F8" s="95">
        <v>43534</v>
      </c>
      <c r="G8" s="95">
        <v>43540</v>
      </c>
      <c r="H8" s="92">
        <v>1</v>
      </c>
    </row>
    <row r="9" spans="1:8">
      <c r="A9" s="93" t="s">
        <v>956</v>
      </c>
      <c r="B9" s="94" t="s">
        <v>1056</v>
      </c>
      <c r="C9" s="95" t="s">
        <v>1100</v>
      </c>
      <c r="D9" s="95">
        <v>43535</v>
      </c>
      <c r="E9" s="96">
        <v>43539</v>
      </c>
      <c r="F9" s="95">
        <v>43534</v>
      </c>
      <c r="G9" s="95">
        <v>43540</v>
      </c>
      <c r="H9" s="92">
        <v>5</v>
      </c>
    </row>
    <row r="10" spans="1:8">
      <c r="A10" s="93" t="s">
        <v>974</v>
      </c>
      <c r="B10" s="94" t="s">
        <v>1047</v>
      </c>
      <c r="C10" s="95" t="s">
        <v>1106</v>
      </c>
      <c r="D10" s="95">
        <v>43535</v>
      </c>
      <c r="E10" s="96">
        <v>43546</v>
      </c>
      <c r="F10" s="95">
        <v>43534</v>
      </c>
      <c r="G10" s="95">
        <v>43540</v>
      </c>
      <c r="H10" s="92">
        <v>2.5</v>
      </c>
    </row>
    <row r="11" spans="1:8">
      <c r="A11" s="93" t="s">
        <v>974</v>
      </c>
      <c r="B11" s="94" t="s">
        <v>1047</v>
      </c>
      <c r="C11" s="95" t="s">
        <v>1107</v>
      </c>
      <c r="D11" s="95">
        <v>43535</v>
      </c>
      <c r="E11" s="96">
        <v>43546</v>
      </c>
      <c r="F11" s="95">
        <v>43534</v>
      </c>
      <c r="G11" s="95">
        <v>43540</v>
      </c>
      <c r="H11" s="92">
        <v>2.5</v>
      </c>
    </row>
    <row r="12" spans="1:8">
      <c r="A12" s="93" t="s">
        <v>974</v>
      </c>
      <c r="B12" s="94" t="s">
        <v>1047</v>
      </c>
      <c r="C12" s="95" t="s">
        <v>1106</v>
      </c>
      <c r="D12" s="95">
        <v>43535</v>
      </c>
      <c r="E12" s="96">
        <v>43546</v>
      </c>
      <c r="F12" s="95">
        <v>43541</v>
      </c>
      <c r="G12" s="95">
        <v>43547</v>
      </c>
      <c r="H12" s="92">
        <v>2.5</v>
      </c>
    </row>
    <row r="13" spans="1:8">
      <c r="A13" s="93" t="s">
        <v>974</v>
      </c>
      <c r="B13" s="94" t="s">
        <v>1047</v>
      </c>
      <c r="C13" s="95" t="s">
        <v>1107</v>
      </c>
      <c r="D13" s="95">
        <v>43535</v>
      </c>
      <c r="E13" s="96">
        <v>43546</v>
      </c>
      <c r="F13" s="95">
        <v>43541</v>
      </c>
      <c r="G13" s="95">
        <v>43547</v>
      </c>
      <c r="H13" s="92">
        <v>2.5</v>
      </c>
    </row>
    <row r="14" spans="1:8">
      <c r="A14" s="93" t="s">
        <v>957</v>
      </c>
      <c r="B14" s="94" t="s">
        <v>1102</v>
      </c>
      <c r="C14" s="95" t="s">
        <v>1172</v>
      </c>
      <c r="D14" s="95">
        <v>43535</v>
      </c>
      <c r="E14" s="96">
        <v>43546</v>
      </c>
      <c r="F14" s="95">
        <v>43534</v>
      </c>
      <c r="G14" s="95">
        <v>43540</v>
      </c>
      <c r="H14" s="92">
        <v>2.5</v>
      </c>
    </row>
    <row r="15" spans="1:8">
      <c r="A15" s="93" t="s">
        <v>957</v>
      </c>
      <c r="B15" s="94" t="s">
        <v>1102</v>
      </c>
      <c r="C15" s="95" t="s">
        <v>1171</v>
      </c>
      <c r="D15" s="95">
        <v>43535</v>
      </c>
      <c r="E15" s="96">
        <v>43546</v>
      </c>
      <c r="F15" s="95">
        <v>43534</v>
      </c>
      <c r="G15" s="95">
        <v>43540</v>
      </c>
      <c r="H15" s="92">
        <v>2.5</v>
      </c>
    </row>
    <row r="16" spans="1:8">
      <c r="A16" s="93" t="s">
        <v>957</v>
      </c>
      <c r="B16" s="94" t="s">
        <v>1102</v>
      </c>
      <c r="C16" s="95" t="s">
        <v>1172</v>
      </c>
      <c r="D16" s="95">
        <v>43535</v>
      </c>
      <c r="E16" s="96">
        <v>43546</v>
      </c>
      <c r="F16" s="95">
        <v>43541</v>
      </c>
      <c r="G16" s="95">
        <v>43547</v>
      </c>
      <c r="H16" s="92">
        <v>2.5</v>
      </c>
    </row>
    <row r="17" spans="1:8">
      <c r="A17" s="93" t="s">
        <v>957</v>
      </c>
      <c r="B17" s="94" t="s">
        <v>1102</v>
      </c>
      <c r="C17" s="95" t="s">
        <v>1171</v>
      </c>
      <c r="D17" s="95">
        <v>43535</v>
      </c>
      <c r="E17" s="96">
        <v>43546</v>
      </c>
      <c r="F17" s="95">
        <v>43541</v>
      </c>
      <c r="G17" s="95">
        <v>43547</v>
      </c>
      <c r="H17" s="92">
        <v>2.5</v>
      </c>
    </row>
    <row r="18" spans="1:8">
      <c r="A18" s="93" t="s">
        <v>1084</v>
      </c>
      <c r="B18" s="94" t="s">
        <v>1057</v>
      </c>
      <c r="C18" s="95" t="s">
        <v>1106</v>
      </c>
      <c r="D18" s="95">
        <v>43539</v>
      </c>
      <c r="E18" s="96">
        <v>43546</v>
      </c>
      <c r="F18" s="95">
        <v>43534</v>
      </c>
      <c r="G18" s="95">
        <v>43540</v>
      </c>
      <c r="H18" s="92">
        <v>0.25</v>
      </c>
    </row>
    <row r="19" spans="1:8">
      <c r="A19" s="93" t="s">
        <v>1084</v>
      </c>
      <c r="B19" s="94" t="s">
        <v>1057</v>
      </c>
      <c r="C19" s="95" t="s">
        <v>1107</v>
      </c>
      <c r="D19" s="95">
        <v>43539</v>
      </c>
      <c r="E19" s="96">
        <v>43546</v>
      </c>
      <c r="F19" s="95">
        <v>43534</v>
      </c>
      <c r="G19" s="95">
        <v>43540</v>
      </c>
      <c r="H19" s="92">
        <v>0.25</v>
      </c>
    </row>
    <row r="20" spans="1:8">
      <c r="A20" s="93" t="s">
        <v>1084</v>
      </c>
      <c r="B20" s="94" t="s">
        <v>1057</v>
      </c>
      <c r="C20" s="95" t="s">
        <v>1172</v>
      </c>
      <c r="D20" s="95">
        <v>43539</v>
      </c>
      <c r="E20" s="96">
        <v>43546</v>
      </c>
      <c r="F20" s="95">
        <v>43534</v>
      </c>
      <c r="G20" s="95">
        <v>43540</v>
      </c>
      <c r="H20" s="92">
        <v>0.25</v>
      </c>
    </row>
    <row r="21" spans="1:8">
      <c r="A21" s="93" t="s">
        <v>1084</v>
      </c>
      <c r="B21" s="94" t="s">
        <v>1057</v>
      </c>
      <c r="C21" s="95" t="s">
        <v>1171</v>
      </c>
      <c r="D21" s="95">
        <v>43539</v>
      </c>
      <c r="E21" s="96">
        <v>43546</v>
      </c>
      <c r="F21" s="95">
        <v>43534</v>
      </c>
      <c r="G21" s="95">
        <v>43540</v>
      </c>
      <c r="H21" s="92">
        <v>0.25</v>
      </c>
    </row>
    <row r="22" spans="1:8">
      <c r="A22" s="93" t="s">
        <v>1084</v>
      </c>
      <c r="B22" s="94" t="s">
        <v>1057</v>
      </c>
      <c r="C22" s="95" t="s">
        <v>1106</v>
      </c>
      <c r="D22" s="95">
        <v>43539</v>
      </c>
      <c r="E22" s="96">
        <v>43546</v>
      </c>
      <c r="F22" s="95">
        <v>43541</v>
      </c>
      <c r="G22" s="95">
        <v>43547</v>
      </c>
      <c r="H22" s="92">
        <v>1.25</v>
      </c>
    </row>
    <row r="23" spans="1:8">
      <c r="A23" s="93" t="s">
        <v>1084</v>
      </c>
      <c r="B23" s="94" t="s">
        <v>1057</v>
      </c>
      <c r="C23" s="95" t="s">
        <v>1107</v>
      </c>
      <c r="D23" s="95">
        <v>43539</v>
      </c>
      <c r="E23" s="96">
        <v>43546</v>
      </c>
      <c r="F23" s="95">
        <v>43541</v>
      </c>
      <c r="G23" s="95">
        <v>43547</v>
      </c>
      <c r="H23" s="92">
        <v>1.25</v>
      </c>
    </row>
    <row r="24" spans="1:8">
      <c r="A24" s="93" t="s">
        <v>1084</v>
      </c>
      <c r="B24" s="94" t="s">
        <v>1057</v>
      </c>
      <c r="C24" s="95" t="s">
        <v>1172</v>
      </c>
      <c r="D24" s="95">
        <v>43539</v>
      </c>
      <c r="E24" s="96">
        <v>43546</v>
      </c>
      <c r="F24" s="95">
        <v>43541</v>
      </c>
      <c r="G24" s="95">
        <v>43547</v>
      </c>
      <c r="H24" s="92">
        <v>1.25</v>
      </c>
    </row>
    <row r="25" spans="1:8">
      <c r="A25" s="93" t="s">
        <v>1084</v>
      </c>
      <c r="B25" s="94" t="s">
        <v>1057</v>
      </c>
      <c r="C25" s="95" t="s">
        <v>1171</v>
      </c>
      <c r="D25" s="95">
        <v>43539</v>
      </c>
      <c r="E25" s="96">
        <v>43546</v>
      </c>
      <c r="F25" s="95">
        <v>43541</v>
      </c>
      <c r="G25" s="95">
        <v>43547</v>
      </c>
      <c r="H25" s="92">
        <v>1.25</v>
      </c>
    </row>
    <row r="26" spans="1:8">
      <c r="A26" s="93" t="s">
        <v>1105</v>
      </c>
      <c r="B26" s="94" t="s">
        <v>1061</v>
      </c>
      <c r="C26" s="95" t="s">
        <v>1166</v>
      </c>
      <c r="D26" s="95">
        <v>43528</v>
      </c>
      <c r="E26" s="96">
        <v>43553</v>
      </c>
      <c r="F26" s="95">
        <v>43527</v>
      </c>
      <c r="G26" s="95">
        <v>43533</v>
      </c>
      <c r="H26" s="92">
        <v>5</v>
      </c>
    </row>
    <row r="27" spans="1:8">
      <c r="A27" s="93" t="s">
        <v>1105</v>
      </c>
      <c r="B27" s="94" t="s">
        <v>1061</v>
      </c>
      <c r="C27" s="95" t="s">
        <v>1166</v>
      </c>
      <c r="D27" s="95">
        <v>43528</v>
      </c>
      <c r="E27" s="96">
        <v>43553</v>
      </c>
      <c r="F27" s="95">
        <v>43534</v>
      </c>
      <c r="G27" s="95">
        <v>43540</v>
      </c>
      <c r="H27" s="92">
        <v>5</v>
      </c>
    </row>
    <row r="28" spans="1:8">
      <c r="A28" s="93" t="s">
        <v>1105</v>
      </c>
      <c r="B28" s="94" t="s">
        <v>1061</v>
      </c>
      <c r="C28" s="95" t="s">
        <v>1166</v>
      </c>
      <c r="D28" s="95">
        <v>43528</v>
      </c>
      <c r="E28" s="96">
        <v>43553</v>
      </c>
      <c r="F28" s="95">
        <v>43541</v>
      </c>
      <c r="G28" s="95">
        <v>43547</v>
      </c>
      <c r="H28" s="92">
        <v>5</v>
      </c>
    </row>
    <row r="29" spans="1:8">
      <c r="A29" s="93" t="s">
        <v>1105</v>
      </c>
      <c r="B29" s="94" t="s">
        <v>1061</v>
      </c>
      <c r="C29" s="95" t="s">
        <v>1166</v>
      </c>
      <c r="D29" s="95">
        <v>43528</v>
      </c>
      <c r="E29" s="96">
        <v>43553</v>
      </c>
      <c r="F29" s="95">
        <v>43548</v>
      </c>
      <c r="G29" s="95">
        <v>43554</v>
      </c>
      <c r="H29" s="92">
        <v>5</v>
      </c>
    </row>
    <row r="30" spans="1:8">
      <c r="A30" s="93" t="s">
        <v>963</v>
      </c>
      <c r="B30" s="94" t="s">
        <v>1058</v>
      </c>
      <c r="C30" s="95" t="s">
        <v>1106</v>
      </c>
      <c r="D30" s="95">
        <v>43535</v>
      </c>
      <c r="E30" s="96">
        <v>43542</v>
      </c>
      <c r="F30" s="95">
        <v>43534</v>
      </c>
      <c r="G30" s="95">
        <v>43540</v>
      </c>
      <c r="H30" s="92">
        <v>2.5</v>
      </c>
    </row>
    <row r="31" spans="1:8">
      <c r="A31" s="93" t="s">
        <v>963</v>
      </c>
      <c r="B31" s="94" t="s">
        <v>1058</v>
      </c>
      <c r="C31" s="95" t="s">
        <v>1107</v>
      </c>
      <c r="D31" s="95">
        <v>43535</v>
      </c>
      <c r="E31" s="96">
        <v>43542</v>
      </c>
      <c r="F31" s="95">
        <v>43534</v>
      </c>
      <c r="G31" s="95">
        <v>43540</v>
      </c>
      <c r="H31" s="92">
        <v>2.5</v>
      </c>
    </row>
    <row r="32" spans="1:8">
      <c r="A32" s="93" t="s">
        <v>963</v>
      </c>
      <c r="B32" s="94" t="s">
        <v>1058</v>
      </c>
      <c r="C32" s="95" t="s">
        <v>1106</v>
      </c>
      <c r="D32" s="95">
        <v>43535</v>
      </c>
      <c r="E32" s="96">
        <v>43542</v>
      </c>
      <c r="F32" s="95">
        <v>43541</v>
      </c>
      <c r="G32" s="95">
        <v>43547</v>
      </c>
      <c r="H32" s="92">
        <v>0.5</v>
      </c>
    </row>
    <row r="33" spans="1:8">
      <c r="A33" s="93" t="s">
        <v>963</v>
      </c>
      <c r="B33" s="94" t="s">
        <v>1058</v>
      </c>
      <c r="C33" s="95" t="s">
        <v>1107</v>
      </c>
      <c r="D33" s="95">
        <v>43535</v>
      </c>
      <c r="E33" s="96">
        <v>43542</v>
      </c>
      <c r="F33" s="95">
        <v>43541</v>
      </c>
      <c r="G33" s="95">
        <v>43547</v>
      </c>
      <c r="H33" s="92">
        <v>0.5</v>
      </c>
    </row>
    <row r="34" spans="1:8">
      <c r="A34" s="93" t="s">
        <v>977</v>
      </c>
      <c r="B34" s="94" t="s">
        <v>1049</v>
      </c>
      <c r="C34" s="95" t="s">
        <v>1172</v>
      </c>
      <c r="D34" s="95">
        <v>43535</v>
      </c>
      <c r="E34" s="96">
        <v>43542</v>
      </c>
      <c r="F34" s="95">
        <v>43534</v>
      </c>
      <c r="G34" s="95">
        <v>43540</v>
      </c>
      <c r="H34" s="92">
        <v>2.5</v>
      </c>
    </row>
    <row r="35" spans="1:8">
      <c r="A35" s="93" t="s">
        <v>977</v>
      </c>
      <c r="B35" s="94" t="s">
        <v>1049</v>
      </c>
      <c r="C35" s="95" t="s">
        <v>1171</v>
      </c>
      <c r="D35" s="95">
        <v>43535</v>
      </c>
      <c r="E35" s="96">
        <v>43542</v>
      </c>
      <c r="F35" s="95">
        <v>43534</v>
      </c>
      <c r="G35" s="95">
        <v>43540</v>
      </c>
      <c r="H35" s="92">
        <v>2.5</v>
      </c>
    </row>
    <row r="36" spans="1:8">
      <c r="A36" s="93" t="s">
        <v>977</v>
      </c>
      <c r="B36" s="94" t="s">
        <v>1049</v>
      </c>
      <c r="C36" s="95" t="s">
        <v>1172</v>
      </c>
      <c r="D36" s="95">
        <v>43535</v>
      </c>
      <c r="E36" s="96">
        <v>43542</v>
      </c>
      <c r="F36" s="95">
        <v>43541</v>
      </c>
      <c r="G36" s="95">
        <v>43547</v>
      </c>
      <c r="H36" s="92">
        <v>0.5</v>
      </c>
    </row>
    <row r="37" spans="1:8">
      <c r="A37" s="93" t="s">
        <v>977</v>
      </c>
      <c r="B37" s="94" t="s">
        <v>1049</v>
      </c>
      <c r="C37" s="95" t="s">
        <v>1171</v>
      </c>
      <c r="D37" s="95">
        <v>43535</v>
      </c>
      <c r="E37" s="96">
        <v>43542</v>
      </c>
      <c r="F37" s="95">
        <v>43541</v>
      </c>
      <c r="G37" s="95">
        <v>43547</v>
      </c>
      <c r="H37" s="92">
        <v>0.5</v>
      </c>
    </row>
    <row r="38" spans="1:8">
      <c r="A38" s="93" t="s">
        <v>1085</v>
      </c>
      <c r="B38" s="94" t="s">
        <v>1059</v>
      </c>
      <c r="C38" s="95" t="s">
        <v>1100</v>
      </c>
      <c r="D38" s="95">
        <v>43535</v>
      </c>
      <c r="E38" s="96">
        <v>43542</v>
      </c>
      <c r="F38" s="95">
        <v>43534</v>
      </c>
      <c r="G38" s="95">
        <v>43540</v>
      </c>
      <c r="H38" s="92">
        <v>5</v>
      </c>
    </row>
    <row r="39" spans="1:8">
      <c r="A39" s="93" t="s">
        <v>1085</v>
      </c>
      <c r="B39" s="94" t="s">
        <v>1059</v>
      </c>
      <c r="C39" s="95" t="s">
        <v>1100</v>
      </c>
      <c r="D39" s="95">
        <v>43535</v>
      </c>
      <c r="E39" s="96">
        <v>43542</v>
      </c>
      <c r="F39" s="95">
        <v>43541</v>
      </c>
      <c r="G39" s="95">
        <v>43547</v>
      </c>
      <c r="H39" s="92">
        <v>1</v>
      </c>
    </row>
    <row r="40" spans="1:8">
      <c r="A40" s="93" t="s">
        <v>1122</v>
      </c>
      <c r="B40" s="94" t="s">
        <v>1140</v>
      </c>
      <c r="C40" s="95" t="s">
        <v>1106</v>
      </c>
      <c r="D40" s="95">
        <v>43542</v>
      </c>
      <c r="E40" s="96">
        <v>43545</v>
      </c>
      <c r="F40" s="95">
        <v>43541</v>
      </c>
      <c r="G40" s="95">
        <v>43547</v>
      </c>
      <c r="H40" s="92">
        <v>4</v>
      </c>
    </row>
    <row r="41" spans="1:8">
      <c r="A41" s="93" t="s">
        <v>1123</v>
      </c>
      <c r="B41" s="94" t="s">
        <v>1138</v>
      </c>
      <c r="C41" s="95" t="s">
        <v>1106</v>
      </c>
      <c r="D41" s="95">
        <v>43545</v>
      </c>
      <c r="E41" s="96">
        <v>43549</v>
      </c>
      <c r="F41" s="95">
        <v>43541</v>
      </c>
      <c r="G41" s="95">
        <v>43547</v>
      </c>
      <c r="H41" s="92">
        <v>1</v>
      </c>
    </row>
    <row r="42" spans="1:8">
      <c r="A42" s="93" t="s">
        <v>1123</v>
      </c>
      <c r="B42" s="94" t="s">
        <v>1138</v>
      </c>
      <c r="C42" s="95" t="s">
        <v>1107</v>
      </c>
      <c r="D42" s="95">
        <v>43545</v>
      </c>
      <c r="E42" s="96">
        <v>43549</v>
      </c>
      <c r="F42" s="95">
        <v>43541</v>
      </c>
      <c r="G42" s="95">
        <v>43547</v>
      </c>
      <c r="H42" s="92">
        <v>1</v>
      </c>
    </row>
    <row r="43" spans="1:8">
      <c r="A43" s="93" t="s">
        <v>1123</v>
      </c>
      <c r="B43" s="94" t="s">
        <v>1138</v>
      </c>
      <c r="C43" s="95" t="s">
        <v>1106</v>
      </c>
      <c r="D43" s="95">
        <v>43545</v>
      </c>
      <c r="E43" s="96">
        <v>43549</v>
      </c>
      <c r="F43" s="95">
        <v>43548</v>
      </c>
      <c r="G43" s="95">
        <v>43554</v>
      </c>
      <c r="H43" s="92">
        <v>0.5</v>
      </c>
    </row>
    <row r="44" spans="1:8">
      <c r="A44" s="93" t="s">
        <v>1123</v>
      </c>
      <c r="B44" s="94" t="s">
        <v>1138</v>
      </c>
      <c r="C44" s="95" t="s">
        <v>1107</v>
      </c>
      <c r="D44" s="95">
        <v>43545</v>
      </c>
      <c r="E44" s="96">
        <v>43549</v>
      </c>
      <c r="F44" s="95">
        <v>43548</v>
      </c>
      <c r="G44" s="95">
        <v>43554</v>
      </c>
      <c r="H44" s="92">
        <v>0.5</v>
      </c>
    </row>
    <row r="45" spans="1:8">
      <c r="A45" s="93" t="s">
        <v>1145</v>
      </c>
      <c r="B45" s="94" t="s">
        <v>1121</v>
      </c>
      <c r="C45" s="95" t="s">
        <v>1106</v>
      </c>
      <c r="D45" s="95">
        <v>43549</v>
      </c>
      <c r="E45" s="96">
        <v>43552</v>
      </c>
      <c r="F45" s="95">
        <v>43548</v>
      </c>
      <c r="G45" s="95">
        <v>43554</v>
      </c>
      <c r="H45" s="92">
        <v>4</v>
      </c>
    </row>
    <row r="46" spans="1:8">
      <c r="A46" s="93" t="s">
        <v>1124</v>
      </c>
      <c r="B46" s="94" t="s">
        <v>1141</v>
      </c>
      <c r="C46" s="95" t="s">
        <v>1107</v>
      </c>
      <c r="D46" s="95">
        <v>43542</v>
      </c>
      <c r="E46" s="96">
        <v>43544</v>
      </c>
      <c r="F46" s="95">
        <v>43541</v>
      </c>
      <c r="G46" s="95">
        <v>43547</v>
      </c>
      <c r="H46" s="92">
        <v>1.5</v>
      </c>
    </row>
    <row r="47" spans="1:8">
      <c r="A47" s="93" t="s">
        <v>1124</v>
      </c>
      <c r="B47" s="94" t="s">
        <v>1141</v>
      </c>
      <c r="C47" s="95" t="s">
        <v>1172</v>
      </c>
      <c r="D47" s="95">
        <v>43542</v>
      </c>
      <c r="E47" s="96">
        <v>43544</v>
      </c>
      <c r="F47" s="95">
        <v>43541</v>
      </c>
      <c r="G47" s="95">
        <v>43547</v>
      </c>
      <c r="H47" s="92">
        <v>1.5</v>
      </c>
    </row>
    <row r="48" spans="1:8">
      <c r="A48" s="93" t="s">
        <v>1125</v>
      </c>
      <c r="B48" s="94" t="s">
        <v>1113</v>
      </c>
      <c r="C48" s="95" t="s">
        <v>1107</v>
      </c>
      <c r="D48" s="95">
        <v>43544</v>
      </c>
      <c r="E48" s="96">
        <v>43546</v>
      </c>
      <c r="F48" s="95">
        <v>43541</v>
      </c>
      <c r="G48" s="95">
        <v>43547</v>
      </c>
      <c r="H48" s="92">
        <v>1.5</v>
      </c>
    </row>
    <row r="49" spans="1:8">
      <c r="A49" s="93" t="s">
        <v>1125</v>
      </c>
      <c r="B49" s="94" t="s">
        <v>1113</v>
      </c>
      <c r="C49" s="95" t="s">
        <v>1100</v>
      </c>
      <c r="D49" s="95">
        <v>43544</v>
      </c>
      <c r="E49" s="96">
        <v>43546</v>
      </c>
      <c r="F49" s="95">
        <v>43541</v>
      </c>
      <c r="G49" s="95">
        <v>43547</v>
      </c>
      <c r="H49" s="92">
        <v>1.5</v>
      </c>
    </row>
    <row r="50" spans="1:8">
      <c r="A50" s="93" t="s">
        <v>1126</v>
      </c>
      <c r="B50" s="94" t="s">
        <v>1114</v>
      </c>
      <c r="C50" s="95" t="s">
        <v>1107</v>
      </c>
      <c r="D50" s="95">
        <v>43546</v>
      </c>
      <c r="E50" s="96">
        <v>43549</v>
      </c>
      <c r="F50" s="95">
        <v>43541</v>
      </c>
      <c r="G50" s="95">
        <v>43547</v>
      </c>
      <c r="H50" s="92">
        <v>1</v>
      </c>
    </row>
    <row r="51" spans="1:8">
      <c r="A51" s="93" t="s">
        <v>1126</v>
      </c>
      <c r="B51" s="94" t="s">
        <v>1114</v>
      </c>
      <c r="C51" s="95" t="s">
        <v>1107</v>
      </c>
      <c r="D51" s="95">
        <v>43546</v>
      </c>
      <c r="E51" s="96">
        <v>43549</v>
      </c>
      <c r="F51" s="95">
        <v>43548</v>
      </c>
      <c r="G51" s="95">
        <v>43554</v>
      </c>
      <c r="H51" s="92">
        <v>1</v>
      </c>
    </row>
    <row r="52" spans="1:8">
      <c r="A52" s="93" t="s">
        <v>1127</v>
      </c>
      <c r="B52" s="94" t="s">
        <v>1115</v>
      </c>
      <c r="C52" s="95" t="s">
        <v>1107</v>
      </c>
      <c r="D52" s="95">
        <v>43552</v>
      </c>
      <c r="E52" s="96">
        <v>43556</v>
      </c>
      <c r="F52" s="95">
        <v>43548</v>
      </c>
      <c r="G52" s="95">
        <v>43554</v>
      </c>
      <c r="H52" s="92">
        <v>2</v>
      </c>
    </row>
    <row r="53" spans="1:8">
      <c r="A53" s="93" t="s">
        <v>1127</v>
      </c>
      <c r="B53" s="94" t="s">
        <v>1115</v>
      </c>
      <c r="C53" s="95" t="s">
        <v>1107</v>
      </c>
      <c r="D53" s="95">
        <v>43552</v>
      </c>
      <c r="E53" s="96">
        <v>43556</v>
      </c>
      <c r="F53" s="95">
        <v>43555</v>
      </c>
      <c r="G53" s="95">
        <v>43561</v>
      </c>
      <c r="H53" s="92">
        <v>1</v>
      </c>
    </row>
    <row r="54" spans="1:8">
      <c r="A54" s="93" t="s">
        <v>1128</v>
      </c>
      <c r="B54" s="94" t="s">
        <v>1116</v>
      </c>
      <c r="C54" s="95" t="s">
        <v>1107</v>
      </c>
      <c r="D54" s="95">
        <v>43549</v>
      </c>
      <c r="E54" s="96">
        <v>43552</v>
      </c>
      <c r="F54" s="95">
        <v>43548</v>
      </c>
      <c r="G54" s="95">
        <v>43554</v>
      </c>
      <c r="H54" s="92">
        <v>2</v>
      </c>
    </row>
    <row r="55" spans="1:8">
      <c r="A55" s="93" t="s">
        <v>1128</v>
      </c>
      <c r="B55" s="94" t="s">
        <v>1116</v>
      </c>
      <c r="C55" s="95" t="s">
        <v>1106</v>
      </c>
      <c r="D55" s="95">
        <v>43549</v>
      </c>
      <c r="E55" s="96">
        <v>43552</v>
      </c>
      <c r="F55" s="95">
        <v>43548</v>
      </c>
      <c r="G55" s="95">
        <v>43554</v>
      </c>
      <c r="H55" s="92">
        <v>2</v>
      </c>
    </row>
    <row r="56" spans="1:8">
      <c r="A56" s="93" t="s">
        <v>1146</v>
      </c>
      <c r="B56" s="94" t="s">
        <v>1139</v>
      </c>
      <c r="C56" s="95" t="s">
        <v>1107</v>
      </c>
      <c r="D56" s="95">
        <v>43552</v>
      </c>
      <c r="E56" s="96">
        <v>43556</v>
      </c>
      <c r="F56" s="95">
        <v>43548</v>
      </c>
      <c r="G56" s="95">
        <v>43554</v>
      </c>
      <c r="H56" s="92">
        <v>1</v>
      </c>
    </row>
    <row r="57" spans="1:8">
      <c r="A57" s="93" t="s">
        <v>1146</v>
      </c>
      <c r="B57" s="94" t="s">
        <v>1139</v>
      </c>
      <c r="C57" s="95" t="s">
        <v>1106</v>
      </c>
      <c r="D57" s="95">
        <v>43552</v>
      </c>
      <c r="E57" s="96">
        <v>43556</v>
      </c>
      <c r="F57" s="95">
        <v>43548</v>
      </c>
      <c r="G57" s="95">
        <v>43554</v>
      </c>
      <c r="H57" s="92">
        <v>1</v>
      </c>
    </row>
    <row r="58" spans="1:8">
      <c r="A58" s="93" t="s">
        <v>1146</v>
      </c>
      <c r="B58" s="94" t="s">
        <v>1139</v>
      </c>
      <c r="C58" s="95" t="s">
        <v>1107</v>
      </c>
      <c r="D58" s="95">
        <v>43552</v>
      </c>
      <c r="E58" s="96">
        <v>43556</v>
      </c>
      <c r="F58" s="95">
        <v>43555</v>
      </c>
      <c r="G58" s="95">
        <v>43561</v>
      </c>
      <c r="H58" s="92">
        <v>0.5</v>
      </c>
    </row>
    <row r="59" spans="1:8">
      <c r="A59" s="93" t="s">
        <v>1146</v>
      </c>
      <c r="B59" s="94" t="s">
        <v>1139</v>
      </c>
      <c r="C59" s="95" t="s">
        <v>1106</v>
      </c>
      <c r="D59" s="95">
        <v>43552</v>
      </c>
      <c r="E59" s="96">
        <v>43556</v>
      </c>
      <c r="F59" s="95">
        <v>43555</v>
      </c>
      <c r="G59" s="95">
        <v>43561</v>
      </c>
      <c r="H59" s="92">
        <v>0.5</v>
      </c>
    </row>
    <row r="60" spans="1:8">
      <c r="A60" s="93" t="s">
        <v>1147</v>
      </c>
      <c r="B60" s="94" t="s">
        <v>1062</v>
      </c>
      <c r="C60" s="95" t="s">
        <v>1107</v>
      </c>
      <c r="D60" s="95">
        <v>43545</v>
      </c>
      <c r="E60" s="96">
        <v>43550</v>
      </c>
      <c r="F60" s="95">
        <v>43541</v>
      </c>
      <c r="G60" s="95">
        <v>43547</v>
      </c>
      <c r="H60" s="92">
        <v>1</v>
      </c>
    </row>
    <row r="61" spans="1:8">
      <c r="A61" s="93" t="s">
        <v>1147</v>
      </c>
      <c r="B61" s="94" t="s">
        <v>1062</v>
      </c>
      <c r="C61" s="95" t="s">
        <v>1100</v>
      </c>
      <c r="D61" s="95">
        <v>43545</v>
      </c>
      <c r="E61" s="96">
        <v>43550</v>
      </c>
      <c r="F61" s="95">
        <v>43541</v>
      </c>
      <c r="G61" s="95">
        <v>43547</v>
      </c>
      <c r="H61" s="92">
        <v>1</v>
      </c>
    </row>
    <row r="62" spans="1:8">
      <c r="A62" s="93" t="s">
        <v>1147</v>
      </c>
      <c r="B62" s="94" t="s">
        <v>1062</v>
      </c>
      <c r="C62" s="95" t="s">
        <v>1107</v>
      </c>
      <c r="D62" s="95">
        <v>43545</v>
      </c>
      <c r="E62" s="96">
        <v>43550</v>
      </c>
      <c r="F62" s="95">
        <v>43548</v>
      </c>
      <c r="G62" s="95">
        <v>43554</v>
      </c>
      <c r="H62" s="92">
        <v>1</v>
      </c>
    </row>
    <row r="63" spans="1:8">
      <c r="A63" s="93" t="s">
        <v>1147</v>
      </c>
      <c r="B63" s="94" t="s">
        <v>1062</v>
      </c>
      <c r="C63" s="95" t="s">
        <v>1100</v>
      </c>
      <c r="D63" s="95">
        <v>43545</v>
      </c>
      <c r="E63" s="96">
        <v>43550</v>
      </c>
      <c r="F63" s="95">
        <v>43548</v>
      </c>
      <c r="G63" s="95">
        <v>43554</v>
      </c>
      <c r="H63" s="92">
        <v>1</v>
      </c>
    </row>
    <row r="64" spans="1:8">
      <c r="A64" s="93" t="s">
        <v>1129</v>
      </c>
      <c r="B64" s="94" t="s">
        <v>1136</v>
      </c>
      <c r="C64" s="95" t="s">
        <v>1106</v>
      </c>
      <c r="D64" s="95">
        <v>43556</v>
      </c>
      <c r="E64" s="96">
        <v>43558</v>
      </c>
      <c r="F64" s="95">
        <v>43555</v>
      </c>
      <c r="G64" s="95">
        <v>43561</v>
      </c>
      <c r="H64" s="92">
        <v>1.5</v>
      </c>
    </row>
    <row r="65" spans="1:8">
      <c r="A65" s="93" t="s">
        <v>1129</v>
      </c>
      <c r="B65" s="94" t="s">
        <v>1136</v>
      </c>
      <c r="C65" s="95" t="s">
        <v>1100</v>
      </c>
      <c r="D65" s="95">
        <v>43556</v>
      </c>
      <c r="E65" s="96">
        <v>43558</v>
      </c>
      <c r="F65" s="95">
        <v>43555</v>
      </c>
      <c r="G65" s="95">
        <v>43561</v>
      </c>
      <c r="H65" s="92">
        <v>1.5</v>
      </c>
    </row>
    <row r="66" spans="1:8">
      <c r="A66" s="93" t="s">
        <v>1130</v>
      </c>
      <c r="B66" s="94" t="s">
        <v>1119</v>
      </c>
      <c r="C66" s="95" t="s">
        <v>1107</v>
      </c>
      <c r="D66" s="95">
        <v>43550</v>
      </c>
      <c r="E66" s="96">
        <v>43553</v>
      </c>
      <c r="F66" s="95">
        <v>43548</v>
      </c>
      <c r="G66" s="95">
        <v>43554</v>
      </c>
      <c r="H66" s="92">
        <v>4</v>
      </c>
    </row>
    <row r="67" spans="1:8">
      <c r="A67" s="93" t="s">
        <v>1131</v>
      </c>
      <c r="B67" s="94" t="s">
        <v>1118</v>
      </c>
      <c r="C67" s="95" t="s">
        <v>1106</v>
      </c>
      <c r="D67" s="95">
        <v>43558</v>
      </c>
      <c r="E67" s="96">
        <v>43560</v>
      </c>
      <c r="F67" s="95">
        <v>43555</v>
      </c>
      <c r="G67" s="95">
        <v>43561</v>
      </c>
      <c r="H67" s="92">
        <v>3</v>
      </c>
    </row>
    <row r="68" spans="1:8">
      <c r="A68" s="93" t="s">
        <v>1132</v>
      </c>
      <c r="B68" s="94" t="s">
        <v>1110</v>
      </c>
      <c r="C68" s="95" t="s">
        <v>1106</v>
      </c>
      <c r="D68" s="95">
        <v>43560</v>
      </c>
      <c r="E68" s="96">
        <v>43564</v>
      </c>
      <c r="F68" s="95">
        <v>43555</v>
      </c>
      <c r="G68" s="95">
        <v>43561</v>
      </c>
      <c r="H68" s="92">
        <v>1</v>
      </c>
    </row>
    <row r="69" spans="1:8">
      <c r="A69" s="93" t="s">
        <v>1132</v>
      </c>
      <c r="B69" s="94" t="s">
        <v>1110</v>
      </c>
      <c r="C69" s="95" t="s">
        <v>1106</v>
      </c>
      <c r="D69" s="95">
        <v>43560</v>
      </c>
      <c r="E69" s="96">
        <v>43564</v>
      </c>
      <c r="F69" s="95">
        <v>43562</v>
      </c>
      <c r="G69" s="95">
        <v>43568</v>
      </c>
      <c r="H69" s="92">
        <v>2</v>
      </c>
    </row>
    <row r="70" spans="1:8">
      <c r="A70" s="93" t="s">
        <v>1133</v>
      </c>
      <c r="B70" s="94" t="s">
        <v>1137</v>
      </c>
      <c r="C70" s="95" t="s">
        <v>1106</v>
      </c>
      <c r="D70" s="95">
        <v>43560</v>
      </c>
      <c r="E70" s="96">
        <v>43563</v>
      </c>
      <c r="F70" s="95">
        <v>43555</v>
      </c>
      <c r="G70" s="95">
        <v>43561</v>
      </c>
      <c r="H70" s="92">
        <v>0.5</v>
      </c>
    </row>
    <row r="71" spans="1:8">
      <c r="A71" s="93" t="s">
        <v>1133</v>
      </c>
      <c r="B71" s="94" t="s">
        <v>1137</v>
      </c>
      <c r="C71" s="95" t="s">
        <v>1107</v>
      </c>
      <c r="D71" s="95">
        <v>43560</v>
      </c>
      <c r="E71" s="96">
        <v>43563</v>
      </c>
      <c r="F71" s="95">
        <v>43555</v>
      </c>
      <c r="G71" s="95">
        <v>43561</v>
      </c>
      <c r="H71" s="92">
        <v>0.5</v>
      </c>
    </row>
    <row r="72" spans="1:8">
      <c r="A72" s="93" t="s">
        <v>1133</v>
      </c>
      <c r="B72" s="94" t="s">
        <v>1137</v>
      </c>
      <c r="C72" s="95" t="s">
        <v>1106</v>
      </c>
      <c r="D72" s="95">
        <v>43560</v>
      </c>
      <c r="E72" s="96">
        <v>43563</v>
      </c>
      <c r="F72" s="95">
        <v>43562</v>
      </c>
      <c r="G72" s="95">
        <v>43568</v>
      </c>
      <c r="H72" s="92">
        <v>0.5</v>
      </c>
    </row>
    <row r="73" spans="1:8">
      <c r="A73" s="93" t="s">
        <v>1133</v>
      </c>
      <c r="B73" s="94" t="s">
        <v>1137</v>
      </c>
      <c r="C73" s="95" t="s">
        <v>1107</v>
      </c>
      <c r="D73" s="95">
        <v>43560</v>
      </c>
      <c r="E73" s="96">
        <v>43563</v>
      </c>
      <c r="F73" s="95">
        <v>43562</v>
      </c>
      <c r="G73" s="95">
        <v>43568</v>
      </c>
      <c r="H73" s="92">
        <v>0.5</v>
      </c>
    </row>
    <row r="74" spans="1:8">
      <c r="A74" s="93" t="s">
        <v>1134</v>
      </c>
      <c r="B74" s="94" t="s">
        <v>1120</v>
      </c>
      <c r="C74" s="95" t="s">
        <v>1107</v>
      </c>
      <c r="D74" s="95">
        <v>43564</v>
      </c>
      <c r="E74" s="96">
        <v>43565</v>
      </c>
      <c r="F74" s="95">
        <v>43562</v>
      </c>
      <c r="G74" s="95">
        <v>43568</v>
      </c>
      <c r="H74" s="92">
        <v>1</v>
      </c>
    </row>
    <row r="75" spans="1:8">
      <c r="A75" s="93" t="s">
        <v>1134</v>
      </c>
      <c r="B75" s="94" t="s">
        <v>1120</v>
      </c>
      <c r="C75" s="95" t="s">
        <v>1106</v>
      </c>
      <c r="D75" s="95">
        <v>43564</v>
      </c>
      <c r="E75" s="96">
        <v>43565</v>
      </c>
      <c r="F75" s="95">
        <v>43562</v>
      </c>
      <c r="G75" s="95">
        <v>43568</v>
      </c>
      <c r="H75" s="92">
        <v>1</v>
      </c>
    </row>
    <row r="76" spans="1:8">
      <c r="A76" s="93" t="s">
        <v>1148</v>
      </c>
      <c r="B76" s="94" t="s">
        <v>1079</v>
      </c>
      <c r="C76" s="95" t="s">
        <v>1100</v>
      </c>
      <c r="D76" s="95">
        <v>43542</v>
      </c>
      <c r="E76" s="96">
        <v>43544</v>
      </c>
      <c r="F76" s="95">
        <v>43541</v>
      </c>
      <c r="G76" s="95">
        <v>43547</v>
      </c>
      <c r="H76" s="92">
        <v>1.5</v>
      </c>
    </row>
    <row r="77" spans="1:8">
      <c r="A77" s="93" t="s">
        <v>1148</v>
      </c>
      <c r="B77" s="94" t="s">
        <v>1079</v>
      </c>
      <c r="C77" s="95" t="s">
        <v>1171</v>
      </c>
      <c r="D77" s="95">
        <v>43542</v>
      </c>
      <c r="E77" s="96">
        <v>43544</v>
      </c>
      <c r="F77" s="95">
        <v>43541</v>
      </c>
      <c r="G77" s="95">
        <v>43547</v>
      </c>
      <c r="H77" s="92">
        <v>1.5</v>
      </c>
    </row>
    <row r="78" spans="1:8">
      <c r="A78" s="93" t="s">
        <v>1149</v>
      </c>
      <c r="B78" s="94" t="s">
        <v>1080</v>
      </c>
      <c r="C78" s="95" t="s">
        <v>1172</v>
      </c>
      <c r="D78" s="95">
        <v>43542</v>
      </c>
      <c r="E78" s="96">
        <v>43544</v>
      </c>
      <c r="F78" s="95">
        <v>43541</v>
      </c>
      <c r="G78" s="95">
        <v>43547</v>
      </c>
      <c r="H78" s="92">
        <v>1.5</v>
      </c>
    </row>
    <row r="79" spans="1:8">
      <c r="A79" s="93" t="s">
        <v>1149</v>
      </c>
      <c r="B79" s="94" t="s">
        <v>1080</v>
      </c>
      <c r="C79" s="95" t="s">
        <v>1171</v>
      </c>
      <c r="D79" s="95">
        <v>43542</v>
      </c>
      <c r="E79" s="96">
        <v>43544</v>
      </c>
      <c r="F79" s="95">
        <v>43541</v>
      </c>
      <c r="G79" s="95">
        <v>43547</v>
      </c>
      <c r="H79" s="92">
        <v>1.5</v>
      </c>
    </row>
    <row r="80" spans="1:8">
      <c r="A80" s="93" t="s">
        <v>1150</v>
      </c>
      <c r="B80" s="94" t="s">
        <v>1140</v>
      </c>
      <c r="C80" s="95" t="s">
        <v>1171</v>
      </c>
      <c r="D80" s="95">
        <v>43544</v>
      </c>
      <c r="E80" s="96">
        <v>43545</v>
      </c>
      <c r="F80" s="95">
        <v>43541</v>
      </c>
      <c r="G80" s="95">
        <v>43547</v>
      </c>
      <c r="H80" s="92">
        <v>2</v>
      </c>
    </row>
    <row r="81" spans="1:8">
      <c r="A81" s="93" t="s">
        <v>1151</v>
      </c>
      <c r="B81" s="94" t="s">
        <v>1138</v>
      </c>
      <c r="C81" s="95" t="s">
        <v>1171</v>
      </c>
      <c r="D81" s="95">
        <v>43545</v>
      </c>
      <c r="E81" s="96">
        <v>43549</v>
      </c>
      <c r="F81" s="95">
        <v>43541</v>
      </c>
      <c r="G81" s="95">
        <v>43547</v>
      </c>
      <c r="H81" s="92">
        <v>2</v>
      </c>
    </row>
    <row r="82" spans="1:8">
      <c r="A82" s="93" t="s">
        <v>1151</v>
      </c>
      <c r="B82" s="94" t="s">
        <v>1138</v>
      </c>
      <c r="C82" s="95" t="s">
        <v>1171</v>
      </c>
      <c r="D82" s="95">
        <v>43545</v>
      </c>
      <c r="E82" s="96">
        <v>43549</v>
      </c>
      <c r="F82" s="95">
        <v>43548</v>
      </c>
      <c r="G82" s="95">
        <v>43554</v>
      </c>
      <c r="H82" s="92">
        <v>1</v>
      </c>
    </row>
    <row r="83" spans="1:8">
      <c r="A83" s="93" t="s">
        <v>1152</v>
      </c>
      <c r="B83" s="94" t="s">
        <v>1163</v>
      </c>
      <c r="C83" s="95" t="s">
        <v>1172</v>
      </c>
      <c r="D83" s="95">
        <v>43544</v>
      </c>
      <c r="E83" s="96">
        <v>43546</v>
      </c>
      <c r="F83" s="95">
        <v>43541</v>
      </c>
      <c r="G83" s="95">
        <v>43547</v>
      </c>
      <c r="H83" s="92">
        <v>1.5</v>
      </c>
    </row>
    <row r="84" spans="1:8">
      <c r="A84" s="93" t="s">
        <v>1152</v>
      </c>
      <c r="B84" s="94" t="s">
        <v>1163</v>
      </c>
      <c r="C84" s="95" t="s">
        <v>1100</v>
      </c>
      <c r="D84" s="95">
        <v>43544</v>
      </c>
      <c r="E84" s="96">
        <v>43546</v>
      </c>
      <c r="F84" s="95">
        <v>43541</v>
      </c>
      <c r="G84" s="95">
        <v>43547</v>
      </c>
      <c r="H84" s="92">
        <v>1.5</v>
      </c>
    </row>
    <row r="85" spans="1:8">
      <c r="A85" s="93" t="s">
        <v>1153</v>
      </c>
      <c r="B85" s="94" t="s">
        <v>1141</v>
      </c>
      <c r="C85" s="95" t="s">
        <v>1172</v>
      </c>
      <c r="D85" s="95">
        <v>43549</v>
      </c>
      <c r="E85" s="96">
        <v>43552</v>
      </c>
      <c r="F85" s="95">
        <v>43548</v>
      </c>
      <c r="G85" s="95">
        <v>43554</v>
      </c>
      <c r="H85" s="92">
        <v>2</v>
      </c>
    </row>
    <row r="86" spans="1:8">
      <c r="A86" s="93" t="s">
        <v>1153</v>
      </c>
      <c r="B86" s="94" t="s">
        <v>1141</v>
      </c>
      <c r="C86" s="95" t="s">
        <v>1100</v>
      </c>
      <c r="D86" s="95">
        <v>43549</v>
      </c>
      <c r="E86" s="96">
        <v>43552</v>
      </c>
      <c r="F86" s="95">
        <v>43548</v>
      </c>
      <c r="G86" s="95">
        <v>43554</v>
      </c>
      <c r="H86" s="92">
        <v>2</v>
      </c>
    </row>
    <row r="87" spans="1:8">
      <c r="A87" s="93" t="s">
        <v>1154</v>
      </c>
      <c r="B87" s="94" t="s">
        <v>1142</v>
      </c>
      <c r="C87" s="95" t="s">
        <v>1172</v>
      </c>
      <c r="D87" s="95">
        <v>43552</v>
      </c>
      <c r="E87" s="96">
        <v>43556</v>
      </c>
      <c r="F87" s="95">
        <v>43548</v>
      </c>
      <c r="G87" s="95">
        <v>43554</v>
      </c>
      <c r="H87" s="92">
        <v>1</v>
      </c>
    </row>
    <row r="88" spans="1:8">
      <c r="A88" s="93" t="s">
        <v>1154</v>
      </c>
      <c r="B88" s="94" t="s">
        <v>1142</v>
      </c>
      <c r="C88" s="95" t="s">
        <v>1100</v>
      </c>
      <c r="D88" s="95">
        <v>43552</v>
      </c>
      <c r="E88" s="96">
        <v>43556</v>
      </c>
      <c r="F88" s="95">
        <v>43548</v>
      </c>
      <c r="G88" s="95">
        <v>43554</v>
      </c>
      <c r="H88" s="92">
        <v>1</v>
      </c>
    </row>
    <row r="89" spans="1:8">
      <c r="A89" s="93" t="s">
        <v>1154</v>
      </c>
      <c r="B89" s="94" t="s">
        <v>1142</v>
      </c>
      <c r="C89" s="95" t="s">
        <v>1172</v>
      </c>
      <c r="D89" s="95">
        <v>43552</v>
      </c>
      <c r="E89" s="96">
        <v>43556</v>
      </c>
      <c r="F89" s="95">
        <v>43555</v>
      </c>
      <c r="G89" s="95">
        <v>43561</v>
      </c>
      <c r="H89" s="92">
        <v>0.5</v>
      </c>
    </row>
    <row r="90" spans="1:8">
      <c r="A90" s="93" t="s">
        <v>1154</v>
      </c>
      <c r="B90" s="94" t="s">
        <v>1142</v>
      </c>
      <c r="C90" s="95" t="s">
        <v>1100</v>
      </c>
      <c r="D90" s="95">
        <v>43552</v>
      </c>
      <c r="E90" s="96">
        <v>43556</v>
      </c>
      <c r="F90" s="95">
        <v>43555</v>
      </c>
      <c r="G90" s="95">
        <v>43561</v>
      </c>
      <c r="H90" s="92">
        <v>0.5</v>
      </c>
    </row>
    <row r="91" spans="1:8">
      <c r="A91" s="93" t="s">
        <v>1155</v>
      </c>
      <c r="B91" s="94" t="s">
        <v>1143</v>
      </c>
      <c r="C91" s="95" t="s">
        <v>1172</v>
      </c>
      <c r="D91" s="95">
        <v>43524</v>
      </c>
      <c r="E91" s="96">
        <v>43556</v>
      </c>
      <c r="F91" s="95">
        <v>43521</v>
      </c>
      <c r="G91" s="95">
        <v>43526</v>
      </c>
      <c r="H91" s="92">
        <v>1</v>
      </c>
    </row>
    <row r="92" spans="1:8">
      <c r="A92" s="93" t="s">
        <v>1155</v>
      </c>
      <c r="B92" s="94" t="s">
        <v>1143</v>
      </c>
      <c r="C92" s="95" t="s">
        <v>1172</v>
      </c>
      <c r="D92" s="95">
        <v>43524</v>
      </c>
      <c r="E92" s="96">
        <v>43556</v>
      </c>
      <c r="F92" s="95">
        <v>43527</v>
      </c>
      <c r="G92" s="95">
        <v>43533</v>
      </c>
      <c r="H92" s="92">
        <v>5</v>
      </c>
    </row>
    <row r="93" spans="1:8">
      <c r="A93" s="93" t="s">
        <v>1155</v>
      </c>
      <c r="B93" s="94" t="s">
        <v>1143</v>
      </c>
      <c r="C93" s="95" t="s">
        <v>1172</v>
      </c>
      <c r="D93" s="95">
        <v>43524</v>
      </c>
      <c r="E93" s="96">
        <v>43556</v>
      </c>
      <c r="F93" s="95">
        <v>43534</v>
      </c>
      <c r="G93" s="95">
        <v>43540</v>
      </c>
      <c r="H93" s="92">
        <v>5</v>
      </c>
    </row>
    <row r="94" spans="1:8">
      <c r="A94" s="93" t="s">
        <v>1155</v>
      </c>
      <c r="B94" s="94" t="s">
        <v>1143</v>
      </c>
      <c r="C94" s="95" t="s">
        <v>1172</v>
      </c>
      <c r="D94" s="95">
        <v>43524</v>
      </c>
      <c r="E94" s="96">
        <v>43556</v>
      </c>
      <c r="F94" s="95">
        <v>43541</v>
      </c>
      <c r="G94" s="95">
        <v>43547</v>
      </c>
      <c r="H94" s="92">
        <v>5</v>
      </c>
    </row>
    <row r="95" spans="1:8">
      <c r="A95" s="93" t="s">
        <v>1155</v>
      </c>
      <c r="B95" s="94" t="s">
        <v>1143</v>
      </c>
      <c r="C95" s="95" t="s">
        <v>1172</v>
      </c>
      <c r="D95" s="95">
        <v>43524</v>
      </c>
      <c r="E95" s="96">
        <v>43556</v>
      </c>
      <c r="F95" s="95">
        <v>43548</v>
      </c>
      <c r="G95" s="95">
        <v>43554</v>
      </c>
      <c r="H95" s="92">
        <v>5</v>
      </c>
    </row>
    <row r="96" spans="1:8">
      <c r="A96" s="93" t="s">
        <v>1155</v>
      </c>
      <c r="B96" s="94" t="s">
        <v>1143</v>
      </c>
      <c r="C96" s="95" t="s">
        <v>1172</v>
      </c>
      <c r="D96" s="95">
        <v>43524</v>
      </c>
      <c r="E96" s="96">
        <v>43556</v>
      </c>
      <c r="F96" s="95">
        <v>43555</v>
      </c>
      <c r="G96" s="95">
        <v>43561</v>
      </c>
      <c r="H96" s="92">
        <v>1</v>
      </c>
    </row>
    <row r="97" spans="1:8">
      <c r="A97" s="93" t="s">
        <v>1156</v>
      </c>
      <c r="B97" s="94" t="s">
        <v>1144</v>
      </c>
      <c r="C97" s="95" t="s">
        <v>1171</v>
      </c>
      <c r="D97" s="95">
        <v>43556</v>
      </c>
      <c r="E97" s="96">
        <v>43559</v>
      </c>
      <c r="F97" s="95">
        <v>43555</v>
      </c>
      <c r="G97" s="95">
        <v>43561</v>
      </c>
      <c r="H97" s="92">
        <v>4</v>
      </c>
    </row>
    <row r="98" spans="1:8">
      <c r="A98" s="93" t="s">
        <v>1157</v>
      </c>
      <c r="B98" s="94" t="s">
        <v>1164</v>
      </c>
      <c r="C98" s="95" t="s">
        <v>1100</v>
      </c>
      <c r="D98" s="95">
        <v>43535</v>
      </c>
      <c r="E98" s="96">
        <v>43560</v>
      </c>
      <c r="F98" s="95">
        <v>43534</v>
      </c>
      <c r="G98" s="95">
        <v>43540</v>
      </c>
      <c r="H98" s="92">
        <v>5</v>
      </c>
    </row>
    <row r="99" spans="1:8">
      <c r="A99" s="93" t="s">
        <v>1157</v>
      </c>
      <c r="B99" s="94" t="s">
        <v>1164</v>
      </c>
      <c r="C99" s="95" t="s">
        <v>1100</v>
      </c>
      <c r="D99" s="95">
        <v>43535</v>
      </c>
      <c r="E99" s="96">
        <v>43560</v>
      </c>
      <c r="F99" s="95">
        <v>43541</v>
      </c>
      <c r="G99" s="95">
        <v>43547</v>
      </c>
      <c r="H99" s="92">
        <v>5</v>
      </c>
    </row>
    <row r="100" spans="1:8">
      <c r="A100" s="93" t="s">
        <v>1157</v>
      </c>
      <c r="B100" s="94" t="s">
        <v>1164</v>
      </c>
      <c r="C100" s="95" t="s">
        <v>1100</v>
      </c>
      <c r="D100" s="95">
        <v>43535</v>
      </c>
      <c r="E100" s="96">
        <v>43560</v>
      </c>
      <c r="F100" s="95">
        <v>43548</v>
      </c>
      <c r="G100" s="95">
        <v>43554</v>
      </c>
      <c r="H100" s="92">
        <v>5</v>
      </c>
    </row>
    <row r="101" spans="1:8">
      <c r="A101" s="93" t="s">
        <v>1157</v>
      </c>
      <c r="B101" s="94" t="s">
        <v>1164</v>
      </c>
      <c r="C101" s="95" t="s">
        <v>1100</v>
      </c>
      <c r="D101" s="95">
        <v>43535</v>
      </c>
      <c r="E101" s="96">
        <v>43560</v>
      </c>
      <c r="F101" s="95">
        <v>43555</v>
      </c>
      <c r="G101" s="95">
        <v>43561</v>
      </c>
      <c r="H101" s="92">
        <v>5</v>
      </c>
    </row>
    <row r="102" spans="1:8">
      <c r="A102" s="93" t="s">
        <v>1158</v>
      </c>
      <c r="B102" s="94" t="s">
        <v>1136</v>
      </c>
      <c r="C102" s="95" t="s">
        <v>1171</v>
      </c>
      <c r="D102" s="95">
        <v>43559</v>
      </c>
      <c r="E102" s="96">
        <v>43560</v>
      </c>
      <c r="F102" s="95">
        <v>43555</v>
      </c>
      <c r="G102" s="95">
        <v>43561</v>
      </c>
      <c r="H102" s="92">
        <v>2</v>
      </c>
    </row>
    <row r="103" spans="1:8">
      <c r="A103" s="93" t="s">
        <v>1159</v>
      </c>
      <c r="B103" s="94" t="s">
        <v>1119</v>
      </c>
      <c r="C103" s="95" t="s">
        <v>1172</v>
      </c>
      <c r="D103" s="95">
        <v>43560</v>
      </c>
      <c r="E103" s="96">
        <v>43564</v>
      </c>
      <c r="F103" s="95">
        <v>43555</v>
      </c>
      <c r="G103" s="95">
        <v>43561</v>
      </c>
      <c r="H103" s="92">
        <v>1</v>
      </c>
    </row>
    <row r="104" spans="1:8">
      <c r="A104" s="93" t="s">
        <v>1159</v>
      </c>
      <c r="B104" s="94" t="s">
        <v>1119</v>
      </c>
      <c r="C104" s="95" t="s">
        <v>1172</v>
      </c>
      <c r="D104" s="95">
        <v>43560</v>
      </c>
      <c r="E104" s="96">
        <v>43564</v>
      </c>
      <c r="F104" s="95">
        <v>43562</v>
      </c>
      <c r="G104" s="95">
        <v>43568</v>
      </c>
      <c r="H104" s="92">
        <v>2</v>
      </c>
    </row>
    <row r="105" spans="1:8">
      <c r="A105" s="93" t="s">
        <v>1160</v>
      </c>
      <c r="B105" s="94" t="s">
        <v>1118</v>
      </c>
      <c r="C105" s="95" t="s">
        <v>1171</v>
      </c>
      <c r="D105" s="95">
        <v>43558</v>
      </c>
      <c r="E105" s="96">
        <v>43560</v>
      </c>
      <c r="F105" s="95">
        <v>43555</v>
      </c>
      <c r="G105" s="95">
        <v>43561</v>
      </c>
      <c r="H105" s="92">
        <v>3</v>
      </c>
    </row>
    <row r="106" spans="1:8">
      <c r="A106" s="93" t="s">
        <v>1161</v>
      </c>
      <c r="B106" s="94" t="s">
        <v>1137</v>
      </c>
      <c r="C106" s="95" t="s">
        <v>1171</v>
      </c>
      <c r="D106" s="95">
        <v>43560</v>
      </c>
      <c r="E106" s="96">
        <v>43563</v>
      </c>
      <c r="F106" s="95">
        <v>43555</v>
      </c>
      <c r="G106" s="95">
        <v>43561</v>
      </c>
      <c r="H106" s="92">
        <v>1</v>
      </c>
    </row>
    <row r="107" spans="1:8">
      <c r="A107" s="93" t="s">
        <v>1161</v>
      </c>
      <c r="B107" s="94" t="s">
        <v>1137</v>
      </c>
      <c r="C107" s="95" t="s">
        <v>1171</v>
      </c>
      <c r="D107" s="95">
        <v>43560</v>
      </c>
      <c r="E107" s="96">
        <v>43563</v>
      </c>
      <c r="F107" s="95">
        <v>43562</v>
      </c>
      <c r="G107" s="95">
        <v>43568</v>
      </c>
      <c r="H107" s="92">
        <v>1</v>
      </c>
    </row>
    <row r="108" spans="1:8">
      <c r="A108" s="93" t="s">
        <v>1175</v>
      </c>
      <c r="B108" s="94" t="s">
        <v>1120</v>
      </c>
      <c r="C108" s="95" t="s">
        <v>1171</v>
      </c>
      <c r="D108" s="95">
        <v>43564</v>
      </c>
      <c r="E108" s="96">
        <v>43565</v>
      </c>
      <c r="F108" s="95">
        <v>43562</v>
      </c>
      <c r="G108" s="95">
        <v>43568</v>
      </c>
      <c r="H108" s="92">
        <v>1</v>
      </c>
    </row>
    <row r="109" spans="1:8">
      <c r="A109" s="93" t="s">
        <v>1175</v>
      </c>
      <c r="B109" s="94" t="s">
        <v>1120</v>
      </c>
      <c r="C109" s="95" t="s">
        <v>1172</v>
      </c>
      <c r="D109" s="95">
        <v>43564</v>
      </c>
      <c r="E109" s="96">
        <v>43565</v>
      </c>
      <c r="F109" s="95">
        <v>43562</v>
      </c>
      <c r="G109" s="95">
        <v>43568</v>
      </c>
      <c r="H109" s="92">
        <v>1</v>
      </c>
    </row>
    <row r="110" spans="1:8">
      <c r="A110" s="93" t="s">
        <v>1093</v>
      </c>
      <c r="B110" s="94" t="s">
        <v>1162</v>
      </c>
      <c r="C110" s="95" t="s">
        <v>1166</v>
      </c>
      <c r="D110" s="95">
        <v>43552</v>
      </c>
      <c r="E110" s="96">
        <v>43557</v>
      </c>
      <c r="F110" s="95">
        <v>43548</v>
      </c>
      <c r="G110" s="95">
        <v>43554</v>
      </c>
      <c r="H110" s="92">
        <v>2</v>
      </c>
    </row>
    <row r="111" spans="1:8">
      <c r="A111" s="93" t="s">
        <v>1093</v>
      </c>
      <c r="B111" s="94" t="s">
        <v>1162</v>
      </c>
      <c r="C111" s="95" t="s">
        <v>1166</v>
      </c>
      <c r="D111" s="95">
        <v>43552</v>
      </c>
      <c r="E111" s="96">
        <v>43557</v>
      </c>
      <c r="F111" s="95">
        <v>43555</v>
      </c>
      <c r="G111" s="95">
        <v>43561</v>
      </c>
      <c r="H111" s="92">
        <v>2</v>
      </c>
    </row>
    <row r="112" spans="1:8">
      <c r="A112" s="93" t="s">
        <v>1094</v>
      </c>
      <c r="B112" s="94" t="s">
        <v>1082</v>
      </c>
      <c r="C112" s="95" t="s">
        <v>1166</v>
      </c>
      <c r="D112" s="95">
        <v>43565</v>
      </c>
      <c r="E112" s="96">
        <v>43579</v>
      </c>
      <c r="F112" s="95">
        <v>43562</v>
      </c>
      <c r="G112" s="95">
        <v>43568</v>
      </c>
      <c r="H112" s="92">
        <v>3</v>
      </c>
    </row>
    <row r="113" spans="1:8">
      <c r="A113" s="93" t="s">
        <v>1094</v>
      </c>
      <c r="B113" s="94" t="s">
        <v>1082</v>
      </c>
      <c r="C113" s="95" t="s">
        <v>1166</v>
      </c>
      <c r="D113" s="95">
        <v>43565</v>
      </c>
      <c r="E113" s="96">
        <v>43579</v>
      </c>
      <c r="F113" s="95">
        <v>43569</v>
      </c>
      <c r="G113" s="95">
        <v>43575</v>
      </c>
      <c r="H113" s="92">
        <v>5</v>
      </c>
    </row>
    <row r="114" spans="1:8">
      <c r="A114" s="93" t="s">
        <v>1094</v>
      </c>
      <c r="B114" s="94" t="s">
        <v>1082</v>
      </c>
      <c r="C114" s="95" t="s">
        <v>1166</v>
      </c>
      <c r="D114" s="95">
        <v>43565</v>
      </c>
      <c r="E114" s="96">
        <v>43579</v>
      </c>
      <c r="F114" s="95">
        <v>43576</v>
      </c>
      <c r="G114" s="95">
        <v>43582</v>
      </c>
      <c r="H114" s="92">
        <v>3</v>
      </c>
    </row>
    <row r="115" spans="1:8">
      <c r="A115" s="93" t="s">
        <v>1165</v>
      </c>
      <c r="B115" s="94" t="s">
        <v>1083</v>
      </c>
      <c r="C115" s="95" t="s">
        <v>1166</v>
      </c>
      <c r="D115" s="95">
        <v>43601</v>
      </c>
      <c r="E115" s="96">
        <v>43623</v>
      </c>
      <c r="F115" s="95">
        <v>43597</v>
      </c>
      <c r="G115" s="95">
        <v>43603</v>
      </c>
      <c r="H115" s="92">
        <v>2</v>
      </c>
    </row>
    <row r="116" spans="1:8">
      <c r="A116" s="93" t="s">
        <v>1165</v>
      </c>
      <c r="B116" s="94" t="s">
        <v>1083</v>
      </c>
      <c r="C116" s="95" t="s">
        <v>1166</v>
      </c>
      <c r="D116" s="95">
        <v>43601</v>
      </c>
      <c r="E116" s="96">
        <v>43623</v>
      </c>
      <c r="F116" s="95">
        <v>43604</v>
      </c>
      <c r="G116" s="95">
        <v>43610</v>
      </c>
      <c r="H116" s="92">
        <v>5</v>
      </c>
    </row>
    <row r="117" spans="1:8">
      <c r="A117" s="93" t="s">
        <v>1165</v>
      </c>
      <c r="B117" s="94" t="s">
        <v>1083</v>
      </c>
      <c r="C117" s="95" t="s">
        <v>1166</v>
      </c>
      <c r="D117" s="95">
        <v>43601</v>
      </c>
      <c r="E117" s="96">
        <v>43623</v>
      </c>
      <c r="F117" s="95">
        <v>43611</v>
      </c>
      <c r="G117" s="95">
        <v>43617</v>
      </c>
      <c r="H117" s="92">
        <v>5</v>
      </c>
    </row>
    <row r="118" spans="1:8">
      <c r="A118" s="93" t="s">
        <v>1165</v>
      </c>
      <c r="B118" s="94" t="s">
        <v>1083</v>
      </c>
      <c r="C118" s="95" t="s">
        <v>1166</v>
      </c>
      <c r="D118" s="95">
        <v>43601</v>
      </c>
      <c r="E118" s="96">
        <v>43623</v>
      </c>
      <c r="F118" s="95">
        <v>43618</v>
      </c>
      <c r="G118" s="95">
        <v>43624</v>
      </c>
      <c r="H118" s="92">
        <v>4</v>
      </c>
    </row>
    <row r="119" spans="1:8">
      <c r="A119" s="93" t="s">
        <v>1071</v>
      </c>
      <c r="B119" s="94" t="s">
        <v>1066</v>
      </c>
      <c r="C119" s="95" t="s">
        <v>1166</v>
      </c>
      <c r="D119" s="95">
        <v>43581</v>
      </c>
      <c r="E119" s="96">
        <v>43592</v>
      </c>
      <c r="F119" s="95">
        <v>43576</v>
      </c>
      <c r="G119" s="95">
        <v>43582</v>
      </c>
      <c r="H119" s="92">
        <v>1</v>
      </c>
    </row>
    <row r="120" spans="1:8">
      <c r="A120" s="93" t="s">
        <v>1071</v>
      </c>
      <c r="B120" s="94" t="s">
        <v>1066</v>
      </c>
      <c r="C120" s="95" t="s">
        <v>1166</v>
      </c>
      <c r="D120" s="95">
        <v>43581</v>
      </c>
      <c r="E120" s="96">
        <v>43592</v>
      </c>
      <c r="F120" s="95">
        <v>43583</v>
      </c>
      <c r="G120" s="95">
        <v>43589</v>
      </c>
      <c r="H120" s="92">
        <v>5</v>
      </c>
    </row>
    <row r="121" spans="1:8">
      <c r="A121" s="93" t="s">
        <v>1071</v>
      </c>
      <c r="B121" s="94" t="s">
        <v>1066</v>
      </c>
      <c r="C121" s="95" t="s">
        <v>1166</v>
      </c>
      <c r="D121" s="95">
        <v>43581</v>
      </c>
      <c r="E121" s="96">
        <v>43592</v>
      </c>
      <c r="F121" s="95">
        <v>43590</v>
      </c>
      <c r="G121" s="95">
        <v>43596</v>
      </c>
      <c r="H121" s="92">
        <v>1</v>
      </c>
    </row>
    <row r="122" spans="1:8">
      <c r="A122" s="93" t="s">
        <v>1072</v>
      </c>
      <c r="B122" s="94" t="s">
        <v>1067</v>
      </c>
      <c r="C122" s="95" t="s">
        <v>1166</v>
      </c>
      <c r="D122" s="95">
        <v>43592</v>
      </c>
      <c r="E122" s="96">
        <v>43598</v>
      </c>
      <c r="F122" s="95">
        <v>43590</v>
      </c>
      <c r="G122" s="95">
        <v>43596</v>
      </c>
      <c r="H122" s="92">
        <v>4</v>
      </c>
    </row>
    <row r="123" spans="1:8">
      <c r="A123" s="93" t="s">
        <v>1072</v>
      </c>
      <c r="B123" s="94" t="s">
        <v>1067</v>
      </c>
      <c r="C123" s="95" t="s">
        <v>1166</v>
      </c>
      <c r="D123" s="95">
        <v>43592</v>
      </c>
      <c r="E123" s="96">
        <v>43598</v>
      </c>
      <c r="F123" s="95">
        <v>43597</v>
      </c>
      <c r="G123" s="95">
        <v>43603</v>
      </c>
      <c r="H123" s="92">
        <v>1</v>
      </c>
    </row>
    <row r="124" spans="1:8">
      <c r="A124" s="93" t="s">
        <v>1074</v>
      </c>
      <c r="B124" s="94" t="s">
        <v>1066</v>
      </c>
      <c r="C124" s="95" t="s">
        <v>1166</v>
      </c>
      <c r="D124" s="95">
        <v>43616</v>
      </c>
      <c r="E124" s="96">
        <v>43626</v>
      </c>
      <c r="F124" s="95">
        <v>43611</v>
      </c>
      <c r="G124" s="95">
        <v>43617</v>
      </c>
      <c r="H124" s="92">
        <v>1</v>
      </c>
    </row>
    <row r="125" spans="1:8">
      <c r="A125" s="93" t="s">
        <v>1074</v>
      </c>
      <c r="B125" s="94" t="s">
        <v>1066</v>
      </c>
      <c r="C125" s="95" t="s">
        <v>1166</v>
      </c>
      <c r="D125" s="95">
        <v>43616</v>
      </c>
      <c r="E125" s="96">
        <v>43626</v>
      </c>
      <c r="F125" s="95">
        <v>43618</v>
      </c>
      <c r="G125" s="95">
        <v>43624</v>
      </c>
      <c r="H125" s="92">
        <v>4</v>
      </c>
    </row>
    <row r="126" spans="1:8">
      <c r="A126" s="93" t="s">
        <v>1074</v>
      </c>
      <c r="B126" s="94" t="s">
        <v>1066</v>
      </c>
      <c r="C126" s="95" t="s">
        <v>1166</v>
      </c>
      <c r="D126" s="95">
        <v>43616</v>
      </c>
      <c r="E126" s="96">
        <v>43626</v>
      </c>
      <c r="F126" s="95">
        <v>43625</v>
      </c>
      <c r="G126" s="95">
        <v>43631</v>
      </c>
      <c r="H126" s="92">
        <v>1</v>
      </c>
    </row>
    <row r="127" spans="1:8">
      <c r="A127" s="93" t="s">
        <v>1075</v>
      </c>
      <c r="B127" s="94" t="s">
        <v>1067</v>
      </c>
      <c r="C127" s="95" t="s">
        <v>1166</v>
      </c>
      <c r="D127" s="95">
        <v>43626</v>
      </c>
      <c r="E127" s="96">
        <v>43633</v>
      </c>
      <c r="F127" s="95">
        <v>43625</v>
      </c>
      <c r="G127" s="95">
        <v>43631</v>
      </c>
      <c r="H127" s="92">
        <v>5</v>
      </c>
    </row>
    <row r="128" spans="1:8">
      <c r="A128" s="93" t="s">
        <v>1075</v>
      </c>
      <c r="B128" s="94" t="s">
        <v>1067</v>
      </c>
      <c r="C128" s="95" t="s">
        <v>1166</v>
      </c>
      <c r="D128" s="95">
        <v>43626</v>
      </c>
      <c r="E128" s="96">
        <v>43633</v>
      </c>
      <c r="F128" s="95">
        <v>43632</v>
      </c>
      <c r="G128" s="95">
        <v>43638</v>
      </c>
      <c r="H128" s="92">
        <v>1</v>
      </c>
    </row>
    <row r="129" spans="1:8">
      <c r="A129" s="93">
        <v>3.3</v>
      </c>
      <c r="B129" s="94" t="s">
        <v>1098</v>
      </c>
      <c r="C129" s="95" t="s">
        <v>1166</v>
      </c>
      <c r="D129" s="95">
        <v>43636</v>
      </c>
      <c r="E129" s="96">
        <v>43637</v>
      </c>
      <c r="F129" s="95">
        <v>43632</v>
      </c>
      <c r="G129" s="95">
        <v>43638</v>
      </c>
      <c r="H129" s="92">
        <v>2</v>
      </c>
    </row>
    <row r="130" spans="1:8">
      <c r="G130" s="92" t="s">
        <v>3</v>
      </c>
      <c r="H130" s="92">
        <f>SUM(H2:H129)</f>
        <v>273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EQ146"/>
  <sheetViews>
    <sheetView tabSelected="1" zoomScale="85" zoomScaleNormal="85" zoomScalePageLayoutView="55" workbookViewId="0">
      <pane ySplit="4" topLeftCell="A5" activePane="bottomLeft" state="frozen"/>
      <selection activeCell="E5" sqref="E5"/>
      <selection pane="bottomLeft" activeCell="D5" sqref="D5"/>
    </sheetView>
  </sheetViews>
  <sheetFormatPr defaultColWidth="10" defaultRowHeight="12" outlineLevelRow="5"/>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5" style="16" customWidth="1"/>
    <col min="29" max="147" width="1.8984375" style="114" customWidth="1"/>
    <col min="148" max="16384" width="10" style="114"/>
  </cols>
  <sheetData>
    <row r="1" spans="1:147" s="158" customFormat="1" ht="19.95" customHeight="1">
      <c r="A1" s="141"/>
      <c r="B1" s="151"/>
      <c r="C1" s="142"/>
      <c r="D1" s="143" t="str">
        <f ca="1">xlgantt.ProjectName()</f>
        <v>Go語 프로젝트</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2019-02-25~2019-06-21 [계획:24.33% 실적:19.96%]</v>
      </c>
      <c r="AC1" s="218" t="s">
        <v>1196</v>
      </c>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8"/>
      <c r="BM1" s="218"/>
      <c r="BN1" s="218"/>
      <c r="BO1" s="218"/>
      <c r="BP1" s="218"/>
      <c r="BQ1" s="218"/>
      <c r="BR1" s="218"/>
      <c r="BS1" s="218"/>
      <c r="BT1" s="218"/>
      <c r="BU1" s="218"/>
      <c r="BV1" s="218"/>
      <c r="BW1" s="218"/>
      <c r="BX1" s="218"/>
      <c r="BY1" s="218"/>
      <c r="BZ1" s="218"/>
      <c r="CA1" s="218"/>
    </row>
    <row r="2" spans="1:147" s="158" customFormat="1" ht="15" customHeight="1">
      <c r="A2" s="159"/>
      <c r="B2" s="159"/>
      <c r="C2" s="160"/>
      <c r="D2" s="229"/>
      <c r="E2" s="229"/>
      <c r="F2" s="229"/>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1184</v>
      </c>
    </row>
    <row r="3" spans="1:147" s="1" customFormat="1" ht="19.95" customHeight="1">
      <c r="A3" s="220" t="s">
        <v>1063</v>
      </c>
      <c r="B3" s="222" t="s">
        <v>1020</v>
      </c>
      <c r="C3" s="224" t="s">
        <v>1197</v>
      </c>
      <c r="D3" s="225" t="s">
        <v>1198</v>
      </c>
      <c r="E3" s="226" t="s">
        <v>1199</v>
      </c>
      <c r="F3" s="227"/>
      <c r="G3" s="227"/>
      <c r="H3" s="227"/>
      <c r="I3" s="227"/>
      <c r="J3" s="227"/>
      <c r="K3" s="228"/>
      <c r="L3" s="230" t="s">
        <v>1168</v>
      </c>
      <c r="M3" s="230" t="s">
        <v>1015</v>
      </c>
      <c r="N3" s="230" t="s">
        <v>1169</v>
      </c>
      <c r="O3" s="231" t="s">
        <v>1025</v>
      </c>
      <c r="P3" s="232" t="s">
        <v>1200</v>
      </c>
      <c r="Q3" s="232" t="s">
        <v>1022</v>
      </c>
      <c r="R3" s="232" t="s">
        <v>1201</v>
      </c>
      <c r="S3" s="232" t="s">
        <v>1016</v>
      </c>
      <c r="T3" s="234" t="s">
        <v>1095</v>
      </c>
      <c r="U3" s="234" t="s">
        <v>1017</v>
      </c>
      <c r="V3" s="235" t="s">
        <v>1170</v>
      </c>
      <c r="W3" s="236" t="s">
        <v>1202</v>
      </c>
      <c r="X3" s="237" t="s">
        <v>1010</v>
      </c>
      <c r="Y3" s="230" t="s">
        <v>1203</v>
      </c>
      <c r="Z3" s="222" t="s">
        <v>1096</v>
      </c>
      <c r="AA3" s="238" t="s">
        <v>1023</v>
      </c>
      <c r="AB3" s="233" t="s">
        <v>1012</v>
      </c>
      <c r="AC3" s="216">
        <v>43520</v>
      </c>
      <c r="AD3" s="217"/>
      <c r="AE3" s="217"/>
      <c r="AF3" s="217"/>
      <c r="AG3" s="217">
        <v>43548</v>
      </c>
      <c r="AH3" s="217"/>
      <c r="AI3" s="217"/>
      <c r="AJ3" s="217"/>
      <c r="AK3" s="217">
        <v>43576</v>
      </c>
      <c r="AL3" s="217"/>
      <c r="AM3" s="217"/>
      <c r="AN3" s="217"/>
      <c r="AO3" s="217">
        <v>43604</v>
      </c>
      <c r="AP3" s="217"/>
      <c r="AQ3" s="217"/>
      <c r="AR3" s="217"/>
      <c r="AS3" s="217">
        <v>43632</v>
      </c>
      <c r="AT3" s="217"/>
      <c r="AU3" s="217"/>
      <c r="AV3" s="219"/>
    </row>
    <row r="4" spans="1:147" s="2" customFormat="1" ht="4.95" customHeight="1">
      <c r="A4" s="221"/>
      <c r="B4" s="223"/>
      <c r="C4" s="220"/>
      <c r="D4" s="225"/>
      <c r="E4" s="226"/>
      <c r="F4" s="227"/>
      <c r="G4" s="227"/>
      <c r="H4" s="227"/>
      <c r="I4" s="227"/>
      <c r="J4" s="227"/>
      <c r="K4" s="228"/>
      <c r="L4" s="230"/>
      <c r="M4" s="230"/>
      <c r="N4" s="230"/>
      <c r="O4" s="231"/>
      <c r="P4" s="232"/>
      <c r="Q4" s="232"/>
      <c r="R4" s="232"/>
      <c r="S4" s="232"/>
      <c r="T4" s="230"/>
      <c r="U4" s="230"/>
      <c r="V4" s="235"/>
      <c r="W4" s="236"/>
      <c r="X4" s="237"/>
      <c r="Y4" s="230"/>
      <c r="Z4" s="222"/>
      <c r="AA4" s="238"/>
      <c r="AB4" s="233"/>
      <c r="AC4" s="112">
        <v>43520</v>
      </c>
      <c r="AD4" s="113">
        <v>43527</v>
      </c>
      <c r="AE4" s="113">
        <v>43534</v>
      </c>
      <c r="AF4" s="113">
        <v>43541</v>
      </c>
      <c r="AG4" s="113">
        <v>43548</v>
      </c>
      <c r="AH4" s="113">
        <v>43555</v>
      </c>
      <c r="AI4" s="113">
        <v>43562</v>
      </c>
      <c r="AJ4" s="113">
        <v>43569</v>
      </c>
      <c r="AK4" s="113">
        <v>43576</v>
      </c>
      <c r="AL4" s="113">
        <v>43583</v>
      </c>
      <c r="AM4" s="113">
        <v>43590</v>
      </c>
      <c r="AN4" s="113">
        <v>43597</v>
      </c>
      <c r="AO4" s="113">
        <v>43604</v>
      </c>
      <c r="AP4" s="113">
        <v>43611</v>
      </c>
      <c r="AQ4" s="113">
        <v>43618</v>
      </c>
      <c r="AR4" s="113">
        <v>43625</v>
      </c>
      <c r="AS4" s="113">
        <v>43632</v>
      </c>
      <c r="AT4" s="113"/>
      <c r="AU4" s="113"/>
      <c r="AV4" s="115"/>
      <c r="AW4" s="121"/>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row>
    <row r="5" spans="1:147">
      <c r="A5" s="116"/>
      <c r="B5" s="116" t="s">
        <v>967</v>
      </c>
      <c r="C5" s="116">
        <v>1</v>
      </c>
      <c r="D5" s="3" t="s">
        <v>968</v>
      </c>
      <c r="E5" s="184" t="s">
        <v>1046</v>
      </c>
      <c r="F5" s="184"/>
      <c r="G5" s="184"/>
      <c r="H5" s="184"/>
      <c r="I5" s="184"/>
      <c r="J5" s="184"/>
      <c r="K5" s="184"/>
      <c r="L5" s="184"/>
      <c r="M5" s="185">
        <v>43521</v>
      </c>
      <c r="N5" s="185">
        <v>43535</v>
      </c>
      <c r="O5" s="186"/>
      <c r="P5" s="187">
        <v>10</v>
      </c>
      <c r="Q5" s="187">
        <v>10</v>
      </c>
      <c r="R5" s="188">
        <v>10</v>
      </c>
      <c r="S5" s="188">
        <v>10</v>
      </c>
      <c r="T5" s="185"/>
      <c r="U5" s="185"/>
      <c r="V5" s="189">
        <v>0</v>
      </c>
      <c r="W5" s="190">
        <v>0</v>
      </c>
      <c r="X5" s="191"/>
      <c r="Y5" s="186"/>
      <c r="Z5" s="192"/>
      <c r="AA5" s="97">
        <v>1</v>
      </c>
      <c r="AB5" s="193">
        <v>1</v>
      </c>
      <c r="AC5" s="123"/>
      <c r="AD5" s="4"/>
      <c r="AE5" s="4" t="str">
        <f>"  " &amp; TEXT(AB5,"#0.00%") &amp; " " &amp; "프로젝트 기획" &amp; " " &amp; IF(M5="","",TEXT(M5,"M/D-")) &amp; IF(N5="","",TEXT(N5,"M/D")) &amp; " "</f>
        <v xml:space="preserve">  100.00% 프로젝트 기획 2/25-3/11 </v>
      </c>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row>
    <row r="6" spans="1:147" outlineLevel="1">
      <c r="A6" s="116"/>
      <c r="B6" s="116"/>
      <c r="C6" s="116">
        <v>2</v>
      </c>
      <c r="D6" s="3" t="s">
        <v>969</v>
      </c>
      <c r="E6" s="184"/>
      <c r="F6" s="209" t="s">
        <v>1077</v>
      </c>
      <c r="G6" s="184"/>
      <c r="H6" s="184"/>
      <c r="I6" s="184"/>
      <c r="J6" s="184"/>
      <c r="K6" s="184"/>
      <c r="L6" s="184"/>
      <c r="M6" s="185">
        <v>43521</v>
      </c>
      <c r="N6" s="185">
        <v>43535</v>
      </c>
      <c r="O6" s="186"/>
      <c r="P6" s="187">
        <v>10</v>
      </c>
      <c r="Q6" s="187">
        <v>10</v>
      </c>
      <c r="R6" s="188">
        <v>10</v>
      </c>
      <c r="S6" s="188">
        <v>10</v>
      </c>
      <c r="T6" s="185"/>
      <c r="U6" s="185"/>
      <c r="V6" s="189"/>
      <c r="W6" s="190">
        <v>0</v>
      </c>
      <c r="X6" s="191">
        <v>1</v>
      </c>
      <c r="Y6" s="186" t="s">
        <v>1166</v>
      </c>
      <c r="Z6" s="192"/>
      <c r="AA6" s="97">
        <v>1</v>
      </c>
      <c r="AB6" s="193">
        <v>1</v>
      </c>
      <c r="AC6" s="123"/>
      <c r="AD6" s="4"/>
      <c r="AE6" s="4" t="str">
        <f>"  " &amp; TEXT(AB6,"#0.00%") &amp; " " &amp; "아이디어 기획 및 조사" &amp; "(조원 전체)" &amp; " " &amp; IF(M6="","",TEXT(M6,"M/D-")) &amp; IF(N6="","",TEXT(N6,"M/D")) &amp; " "</f>
        <v xml:space="preserve">  100.00% 아이디어 기획 및 조사(조원 전체) 2/25-3/11 </v>
      </c>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row>
    <row r="7" spans="1:147" outlineLevel="1">
      <c r="A7" s="116"/>
      <c r="B7" s="116"/>
      <c r="C7" s="116">
        <v>0</v>
      </c>
      <c r="D7" s="3"/>
      <c r="E7" s="184"/>
      <c r="F7" s="209"/>
      <c r="G7" s="184"/>
      <c r="H7" s="184"/>
      <c r="I7" s="184"/>
      <c r="J7" s="184"/>
      <c r="K7" s="184"/>
      <c r="L7" s="184"/>
      <c r="M7" s="185"/>
      <c r="N7" s="185"/>
      <c r="O7" s="186"/>
      <c r="P7" s="187"/>
      <c r="Q7" s="187"/>
      <c r="R7" s="188">
        <v>0</v>
      </c>
      <c r="S7" s="188">
        <v>0</v>
      </c>
      <c r="T7" s="185"/>
      <c r="U7" s="185"/>
      <c r="V7" s="189"/>
      <c r="W7" s="190">
        <v>0</v>
      </c>
      <c r="X7" s="191"/>
      <c r="Y7" s="186"/>
      <c r="Z7" s="192"/>
      <c r="AA7" s="97"/>
      <c r="AB7" s="193"/>
      <c r="AC7" s="123"/>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row>
    <row r="8" spans="1:147">
      <c r="A8" s="116"/>
      <c r="B8" s="116" t="s">
        <v>967</v>
      </c>
      <c r="C8" s="116">
        <v>1</v>
      </c>
      <c r="D8" s="3" t="s">
        <v>970</v>
      </c>
      <c r="E8" s="184" t="s">
        <v>959</v>
      </c>
      <c r="F8" s="184"/>
      <c r="G8" s="184"/>
      <c r="H8" s="184"/>
      <c r="I8" s="184"/>
      <c r="J8" s="184"/>
      <c r="K8" s="184"/>
      <c r="L8" s="184"/>
      <c r="M8" s="185">
        <v>43528</v>
      </c>
      <c r="N8" s="185">
        <v>43623</v>
      </c>
      <c r="O8" s="186"/>
      <c r="P8" s="187">
        <v>227</v>
      </c>
      <c r="Q8" s="187">
        <v>54</v>
      </c>
      <c r="R8" s="188">
        <v>68</v>
      </c>
      <c r="S8" s="188">
        <v>10</v>
      </c>
      <c r="T8" s="185"/>
      <c r="U8" s="185"/>
      <c r="V8" s="189">
        <v>0</v>
      </c>
      <c r="W8" s="190">
        <v>0</v>
      </c>
      <c r="X8" s="191"/>
      <c r="Y8" s="186"/>
      <c r="Z8" s="192"/>
      <c r="AA8" s="97">
        <v>0.23788546255506607</v>
      </c>
      <c r="AB8" s="193">
        <v>0.18722466960352424</v>
      </c>
      <c r="AC8" s="123"/>
      <c r="AD8" s="4"/>
      <c r="AE8" s="4"/>
      <c r="AF8" s="4" t="str">
        <f>"     " &amp; TEXT(AB8,"#0.00%") &amp; " "</f>
        <v xml:space="preserve">     18.72% </v>
      </c>
      <c r="AG8" s="4"/>
      <c r="AH8" s="4"/>
      <c r="AI8" s="4"/>
      <c r="AJ8" s="4"/>
      <c r="AK8" s="4"/>
      <c r="AL8" s="4"/>
      <c r="AM8" s="4"/>
      <c r="AN8" s="4"/>
      <c r="AO8" s="4"/>
      <c r="AP8" s="4"/>
      <c r="AQ8" s="4" t="str">
        <f>"      " &amp; "시스템 개발" &amp; " " &amp; IF(M8="","",TEXT(M8,"M/D-")) &amp; IF(N8="","",TEXT(N8,"M/D")) &amp; " "</f>
        <v xml:space="preserve">      시스템 개발 3/4-6/7 </v>
      </c>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row>
    <row r="9" spans="1:147" outlineLevel="1">
      <c r="A9" s="116"/>
      <c r="B9" s="116" t="s">
        <v>967</v>
      </c>
      <c r="C9" s="116">
        <v>2</v>
      </c>
      <c r="D9" s="3" t="s">
        <v>971</v>
      </c>
      <c r="E9" s="184"/>
      <c r="F9" s="184" t="s">
        <v>960</v>
      </c>
      <c r="G9" s="184"/>
      <c r="H9" s="184"/>
      <c r="I9" s="184"/>
      <c r="J9" s="184"/>
      <c r="K9" s="184"/>
      <c r="L9" s="184"/>
      <c r="M9" s="185">
        <v>43530</v>
      </c>
      <c r="N9" s="185">
        <v>43535</v>
      </c>
      <c r="O9" s="186"/>
      <c r="P9" s="187">
        <v>8</v>
      </c>
      <c r="Q9" s="187">
        <v>8</v>
      </c>
      <c r="R9" s="188">
        <v>4</v>
      </c>
      <c r="S9" s="188">
        <v>4</v>
      </c>
      <c r="T9" s="185"/>
      <c r="U9" s="185"/>
      <c r="V9" s="189">
        <v>0</v>
      </c>
      <c r="W9" s="190">
        <v>0</v>
      </c>
      <c r="X9" s="191"/>
      <c r="Y9" s="186"/>
      <c r="Z9" s="192"/>
      <c r="AA9" s="97">
        <v>1</v>
      </c>
      <c r="AB9" s="193">
        <v>1</v>
      </c>
      <c r="AC9" s="123"/>
      <c r="AD9" s="4"/>
      <c r="AE9" s="4" t="str">
        <f>"  " &amp; TEXT(AB9,"#0.00%") &amp; " " &amp; "분석" &amp; " " &amp; IF(M9="","",TEXT(M9,"M/D-")) &amp; IF(N9="","",TEXT(N9,"M/D")) &amp; " "</f>
        <v xml:space="preserve">  100.00% 분석 3/6-3/11 </v>
      </c>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row>
    <row r="10" spans="1:147" outlineLevel="2">
      <c r="A10" s="116"/>
      <c r="B10" s="116"/>
      <c r="C10" s="116">
        <v>3</v>
      </c>
      <c r="D10" s="3" t="s">
        <v>955</v>
      </c>
      <c r="E10" s="184"/>
      <c r="F10" s="184"/>
      <c r="G10" s="184" t="s">
        <v>1054</v>
      </c>
      <c r="H10" s="184"/>
      <c r="I10" s="184"/>
      <c r="J10" s="184"/>
      <c r="K10" s="184"/>
      <c r="L10" s="184"/>
      <c r="M10" s="185">
        <v>43530</v>
      </c>
      <c r="N10" s="185">
        <v>43535</v>
      </c>
      <c r="O10" s="186"/>
      <c r="P10" s="187">
        <v>4</v>
      </c>
      <c r="Q10" s="187">
        <v>4</v>
      </c>
      <c r="R10" s="188">
        <v>4</v>
      </c>
      <c r="S10" s="188">
        <v>4</v>
      </c>
      <c r="T10" s="185"/>
      <c r="U10" s="185"/>
      <c r="V10" s="189"/>
      <c r="W10" s="190">
        <v>0</v>
      </c>
      <c r="X10" s="191">
        <v>1</v>
      </c>
      <c r="Y10" s="186" t="s">
        <v>1166</v>
      </c>
      <c r="Z10" s="192"/>
      <c r="AA10" s="97">
        <v>1</v>
      </c>
      <c r="AB10" s="193">
        <v>1</v>
      </c>
      <c r="AC10" s="123"/>
      <c r="AD10" s="4"/>
      <c r="AE10" s="4" t="str">
        <f>"  " &amp; TEXT(AB10,"#0.00%") &amp; " " &amp; "요구사항 정의" &amp; "(조원 전체)" &amp; " " &amp; IF(M10="","",TEXT(M10,"M/D-")) &amp; IF(N10="","",TEXT(N10,"M/D")) &amp; " "</f>
        <v xml:space="preserve">  100.00% 요구사항 정의(조원 전체) 3/6-3/11 </v>
      </c>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row>
    <row r="11" spans="1:147" outlineLevel="2">
      <c r="A11" s="116"/>
      <c r="B11" s="116"/>
      <c r="C11" s="116">
        <v>3</v>
      </c>
      <c r="D11" s="3" t="s">
        <v>972</v>
      </c>
      <c r="E11" s="184"/>
      <c r="F11" s="184"/>
      <c r="G11" s="184" t="s">
        <v>1055</v>
      </c>
      <c r="H11" s="184"/>
      <c r="I11" s="184"/>
      <c r="J11" s="184"/>
      <c r="K11" s="184"/>
      <c r="L11" s="184"/>
      <c r="M11" s="185">
        <v>43530</v>
      </c>
      <c r="N11" s="185">
        <v>43535</v>
      </c>
      <c r="O11" s="186"/>
      <c r="P11" s="187">
        <v>4</v>
      </c>
      <c r="Q11" s="187">
        <v>4</v>
      </c>
      <c r="R11" s="188">
        <v>4</v>
      </c>
      <c r="S11" s="188">
        <v>4</v>
      </c>
      <c r="T11" s="185"/>
      <c r="U11" s="185"/>
      <c r="V11" s="189"/>
      <c r="W11" s="190">
        <v>0</v>
      </c>
      <c r="X11" s="191">
        <v>1</v>
      </c>
      <c r="Y11" s="186" t="s">
        <v>1166</v>
      </c>
      <c r="Z11" s="192"/>
      <c r="AA11" s="97">
        <v>1</v>
      </c>
      <c r="AB11" s="193">
        <v>1</v>
      </c>
      <c r="AC11" s="123"/>
      <c r="AD11" s="4"/>
      <c r="AE11" s="4" t="str">
        <f>"  " &amp; TEXT(AB11,"#0.00%") &amp; " " &amp; "시나리오 작성" &amp; "(조원 전체)" &amp; " " &amp; IF(M11="","",TEXT(M11,"M/D-")) &amp; IF(N11="","",TEXT(N11,"M/D")) &amp; " "</f>
        <v xml:space="preserve">  100.00% 시나리오 작성(조원 전체) 3/6-3/11 </v>
      </c>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row>
    <row r="12" spans="1:147" outlineLevel="2">
      <c r="A12" s="116"/>
      <c r="B12" s="116"/>
      <c r="C12" s="116">
        <v>0</v>
      </c>
      <c r="D12" s="3"/>
      <c r="E12" s="184"/>
      <c r="F12" s="184"/>
      <c r="G12" s="184"/>
      <c r="H12" s="184"/>
      <c r="I12" s="184"/>
      <c r="J12" s="184"/>
      <c r="K12" s="184"/>
      <c r="L12" s="184"/>
      <c r="M12" s="185"/>
      <c r="N12" s="185"/>
      <c r="O12" s="186"/>
      <c r="P12" s="187"/>
      <c r="Q12" s="187"/>
      <c r="R12" s="188">
        <v>0</v>
      </c>
      <c r="S12" s="188">
        <v>0</v>
      </c>
      <c r="T12" s="185"/>
      <c r="U12" s="185"/>
      <c r="V12" s="189"/>
      <c r="W12" s="190">
        <v>0</v>
      </c>
      <c r="X12" s="191"/>
      <c r="Y12" s="186"/>
      <c r="Z12" s="192"/>
      <c r="AA12" s="97"/>
      <c r="AB12" s="193"/>
      <c r="AC12" s="123"/>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row>
    <row r="13" spans="1:147" outlineLevel="1">
      <c r="A13" s="116"/>
      <c r="B13" s="116" t="s">
        <v>967</v>
      </c>
      <c r="C13" s="116">
        <v>2</v>
      </c>
      <c r="D13" s="3" t="s">
        <v>973</v>
      </c>
      <c r="E13" s="184"/>
      <c r="F13" s="184" t="s">
        <v>961</v>
      </c>
      <c r="G13" s="184"/>
      <c r="H13" s="184"/>
      <c r="I13" s="184"/>
      <c r="J13" s="184"/>
      <c r="K13" s="184"/>
      <c r="L13" s="184"/>
      <c r="M13" s="185">
        <v>43528</v>
      </c>
      <c r="N13" s="185">
        <v>43553</v>
      </c>
      <c r="O13" s="186"/>
      <c r="P13" s="187">
        <v>51</v>
      </c>
      <c r="Q13" s="187">
        <v>26</v>
      </c>
      <c r="R13" s="188">
        <v>20</v>
      </c>
      <c r="S13" s="188">
        <v>10</v>
      </c>
      <c r="T13" s="185"/>
      <c r="U13" s="185"/>
      <c r="V13" s="189">
        <v>0</v>
      </c>
      <c r="W13" s="190">
        <v>0</v>
      </c>
      <c r="X13" s="191"/>
      <c r="Y13" s="186"/>
      <c r="Z13" s="192"/>
      <c r="AA13" s="97">
        <v>0.50980392156862742</v>
      </c>
      <c r="AB13" s="193">
        <v>0.16666666666666666</v>
      </c>
      <c r="AC13" s="123"/>
      <c r="AD13" s="4" t="str">
        <f>"     " &amp; TEXT(AB13,"#0.00%") &amp; " " &amp; "설계" &amp; " " &amp; IF(M13="","",TEXT(M13,"M/D-")) &amp; IF(N13="","",TEXT(N13,"M/D")) &amp; " "</f>
        <v xml:space="preserve">     16.67% 설계 3/4-3/29 </v>
      </c>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row>
    <row r="14" spans="1:147" outlineLevel="2">
      <c r="A14" s="116"/>
      <c r="B14" s="116"/>
      <c r="C14" s="116">
        <v>3</v>
      </c>
      <c r="D14" s="3" t="s">
        <v>956</v>
      </c>
      <c r="E14" s="184"/>
      <c r="F14" s="184"/>
      <c r="G14" s="184" t="s">
        <v>1056</v>
      </c>
      <c r="H14" s="184"/>
      <c r="I14" s="184"/>
      <c r="J14" s="184"/>
      <c r="K14" s="184"/>
      <c r="L14" s="184"/>
      <c r="M14" s="185">
        <v>43535</v>
      </c>
      <c r="N14" s="185">
        <v>43539</v>
      </c>
      <c r="O14" s="186"/>
      <c r="P14" s="187">
        <v>5</v>
      </c>
      <c r="Q14" s="187">
        <v>5</v>
      </c>
      <c r="R14" s="188">
        <v>5</v>
      </c>
      <c r="S14" s="188">
        <v>5</v>
      </c>
      <c r="T14" s="185"/>
      <c r="U14" s="185"/>
      <c r="V14" s="189"/>
      <c r="W14" s="190">
        <v>0</v>
      </c>
      <c r="X14" s="191">
        <v>1</v>
      </c>
      <c r="Y14" s="215" t="s">
        <v>1100</v>
      </c>
      <c r="Z14" s="192"/>
      <c r="AA14" s="97">
        <v>1</v>
      </c>
      <c r="AB14" s="193">
        <v>0.9</v>
      </c>
      <c r="AC14" s="123"/>
      <c r="AD14" s="4"/>
      <c r="AE14" s="4" t="str">
        <f>"      " &amp; TEXT(AB14,"#0.00%") &amp; " " &amp; "ERD설계" &amp; "(이수재)" &amp; " " &amp; IF(M14="","",TEXT(M14,"M/D-")) &amp; IF(N14="","",TEXT(N14,"M/D")) &amp; " "</f>
        <v xml:space="preserve">      90.00% ERD설계(이수재) 3/11-3/15 </v>
      </c>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row>
    <row r="15" spans="1:147" outlineLevel="2">
      <c r="A15" s="116"/>
      <c r="B15" s="116"/>
      <c r="C15" s="116">
        <v>3</v>
      </c>
      <c r="D15" s="3" t="s">
        <v>974</v>
      </c>
      <c r="E15" s="184"/>
      <c r="F15" s="184"/>
      <c r="G15" s="184" t="s">
        <v>1047</v>
      </c>
      <c r="H15" s="184"/>
      <c r="I15" s="184"/>
      <c r="J15" s="184"/>
      <c r="K15" s="184"/>
      <c r="L15" s="184"/>
      <c r="M15" s="185">
        <v>43535</v>
      </c>
      <c r="N15" s="185">
        <v>43546</v>
      </c>
      <c r="O15" s="186"/>
      <c r="P15" s="187">
        <v>10</v>
      </c>
      <c r="Q15" s="187">
        <v>5</v>
      </c>
      <c r="R15" s="188">
        <v>10</v>
      </c>
      <c r="S15" s="188">
        <v>5</v>
      </c>
      <c r="T15" s="185"/>
      <c r="U15" s="185"/>
      <c r="V15" s="189"/>
      <c r="W15" s="190">
        <v>0</v>
      </c>
      <c r="X15" s="191">
        <v>1</v>
      </c>
      <c r="Y15" s="186" t="s">
        <v>1101</v>
      </c>
      <c r="Z15" s="192"/>
      <c r="AA15" s="97">
        <v>0.5</v>
      </c>
      <c r="AB15" s="193">
        <v>0</v>
      </c>
      <c r="AC15" s="123"/>
      <c r="AD15" s="4"/>
      <c r="AE15" s="4" t="str">
        <f>" " &amp; TEXT(AB15,"#0.00%") &amp; " " &amp; "화면 설계" &amp; "(김소민, 김승연)" &amp; " " &amp; IF(M15="","",TEXT(M15,"M/D-")) &amp; IF(N15="","",TEXT(N15,"M/D")) &amp; " "</f>
        <v xml:space="preserve"> 0.00% 화면 설계(김소민, 김승연) 3/11-3/22 </v>
      </c>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row>
    <row r="16" spans="1:147" outlineLevel="2">
      <c r="A16" s="116"/>
      <c r="B16" s="116"/>
      <c r="C16" s="116">
        <v>3</v>
      </c>
      <c r="D16" s="3" t="s">
        <v>957</v>
      </c>
      <c r="E16" s="184"/>
      <c r="F16" s="184"/>
      <c r="G16" s="184" t="s">
        <v>1102</v>
      </c>
      <c r="H16" s="184"/>
      <c r="I16" s="184"/>
      <c r="J16" s="184"/>
      <c r="K16" s="184"/>
      <c r="L16" s="184"/>
      <c r="M16" s="185">
        <v>43535</v>
      </c>
      <c r="N16" s="185">
        <v>43546</v>
      </c>
      <c r="O16" s="186"/>
      <c r="P16" s="187">
        <v>10</v>
      </c>
      <c r="Q16" s="187">
        <v>5</v>
      </c>
      <c r="R16" s="188">
        <v>10</v>
      </c>
      <c r="S16" s="188">
        <v>5</v>
      </c>
      <c r="T16" s="185"/>
      <c r="U16" s="185"/>
      <c r="V16" s="189"/>
      <c r="W16" s="190">
        <v>0</v>
      </c>
      <c r="X16" s="191">
        <v>1</v>
      </c>
      <c r="Y16" s="186" t="s">
        <v>1103</v>
      </c>
      <c r="Z16" s="192"/>
      <c r="AA16" s="97">
        <v>0.5</v>
      </c>
      <c r="AB16" s="193">
        <v>0</v>
      </c>
      <c r="AC16" s="123"/>
      <c r="AD16" s="4"/>
      <c r="AE16" s="4" t="str">
        <f>" " &amp; TEXT(AB16,"#0.00%") &amp; " " &amp; "서버 설계" &amp; "(최찬민, 조혜경)" &amp; " " &amp; IF(M16="","",TEXT(M16,"M/D-")) &amp; IF(N16="","",TEXT(N16,"M/D")) &amp; " "</f>
        <v xml:space="preserve"> 0.00% 서버 설계(최찬민, 조혜경) 3/11-3/22 </v>
      </c>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row>
    <row r="17" spans="1:147" outlineLevel="2">
      <c r="A17" s="116"/>
      <c r="B17" s="116"/>
      <c r="C17" s="116">
        <v>3</v>
      </c>
      <c r="D17" s="3" t="s">
        <v>1084</v>
      </c>
      <c r="E17" s="184"/>
      <c r="F17" s="184"/>
      <c r="G17" s="184" t="s">
        <v>1057</v>
      </c>
      <c r="H17" s="184"/>
      <c r="I17" s="184"/>
      <c r="J17" s="184"/>
      <c r="K17" s="184"/>
      <c r="L17" s="184"/>
      <c r="M17" s="185">
        <v>43539</v>
      </c>
      <c r="N17" s="185">
        <v>43546</v>
      </c>
      <c r="O17" s="186"/>
      <c r="P17" s="187">
        <v>6</v>
      </c>
      <c r="Q17" s="187">
        <v>1</v>
      </c>
      <c r="R17" s="188">
        <v>6</v>
      </c>
      <c r="S17" s="188">
        <v>1</v>
      </c>
      <c r="T17" s="185"/>
      <c r="U17" s="185"/>
      <c r="V17" s="189"/>
      <c r="W17" s="190">
        <v>0</v>
      </c>
      <c r="X17" s="191">
        <v>1</v>
      </c>
      <c r="Y17" s="186" t="s">
        <v>1104</v>
      </c>
      <c r="Z17" s="192"/>
      <c r="AA17" s="97">
        <v>0.16666666666666666</v>
      </c>
      <c r="AB17" s="193">
        <v>0</v>
      </c>
      <c r="AC17" s="123"/>
      <c r="AD17" s="4"/>
      <c r="AE17" s="4" t="str">
        <f>"     " &amp; TEXT(AB17,"#0.00%") &amp; " " &amp; "화면정의서 작성" &amp; "(김소민, 김승연, 최찬민, 조혜경)" &amp; " " &amp; IF(M17="","",TEXT(M17,"M/D-")) &amp; IF(N17="","",TEXT(N17,"M/D")) &amp; " "</f>
        <v xml:space="preserve">     0.00% 화면정의서 작성(김소민, 김승연, 최찬민, 조혜경) 3/15-3/22 </v>
      </c>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row>
    <row r="18" spans="1:147" outlineLevel="2">
      <c r="A18" s="116"/>
      <c r="B18" s="116"/>
      <c r="C18" s="116">
        <v>3</v>
      </c>
      <c r="D18" s="3" t="s">
        <v>1105</v>
      </c>
      <c r="E18" s="184"/>
      <c r="F18" s="184"/>
      <c r="G18" s="184" t="s">
        <v>1061</v>
      </c>
      <c r="H18" s="184"/>
      <c r="I18" s="184"/>
      <c r="J18" s="184"/>
      <c r="K18" s="184"/>
      <c r="L18" s="184"/>
      <c r="M18" s="185">
        <v>43528</v>
      </c>
      <c r="N18" s="185">
        <v>43553</v>
      </c>
      <c r="O18" s="186"/>
      <c r="P18" s="187">
        <v>20</v>
      </c>
      <c r="Q18" s="187">
        <v>10</v>
      </c>
      <c r="R18" s="188">
        <v>20</v>
      </c>
      <c r="S18" s="188">
        <v>10</v>
      </c>
      <c r="T18" s="185"/>
      <c r="U18" s="185"/>
      <c r="V18" s="189"/>
      <c r="W18" s="190">
        <v>0</v>
      </c>
      <c r="X18" s="191">
        <v>1</v>
      </c>
      <c r="Y18" s="215" t="s">
        <v>1166</v>
      </c>
      <c r="Z18" s="192"/>
      <c r="AA18" s="97">
        <v>0.5</v>
      </c>
      <c r="AB18" s="193">
        <v>0.2</v>
      </c>
      <c r="AC18" s="123"/>
      <c r="AD18" s="4" t="str">
        <f>"      " &amp; TEXT(AB18,"#0.00%") &amp; " " &amp; "산출물 작성 및 제출" &amp; "(조원 전체)" &amp; " " &amp; IF(M18="","",TEXT(M18,"M/D-")) &amp; IF(N18="","",TEXT(N18,"M/D")) &amp; " "</f>
        <v xml:space="preserve">      20.00% 산출물 작성 및 제출(조원 전체) 3/4-3/29 </v>
      </c>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row>
    <row r="19" spans="1:147" outlineLevel="2">
      <c r="A19" s="116"/>
      <c r="B19" s="116"/>
      <c r="C19" s="116">
        <v>0</v>
      </c>
      <c r="D19" s="207"/>
      <c r="E19" s="184"/>
      <c r="F19" s="184"/>
      <c r="G19" s="184"/>
      <c r="H19" s="184"/>
      <c r="I19" s="184"/>
      <c r="J19" s="184"/>
      <c r="K19" s="184"/>
      <c r="L19" s="184"/>
      <c r="M19" s="185"/>
      <c r="N19" s="185"/>
      <c r="O19" s="186"/>
      <c r="P19" s="187"/>
      <c r="Q19" s="187"/>
      <c r="R19" s="188">
        <v>0</v>
      </c>
      <c r="S19" s="188">
        <v>0</v>
      </c>
      <c r="T19" s="185"/>
      <c r="U19" s="185"/>
      <c r="V19" s="189"/>
      <c r="W19" s="190">
        <v>0</v>
      </c>
      <c r="X19" s="191"/>
      <c r="Y19" s="186"/>
      <c r="Z19" s="192"/>
      <c r="AA19" s="97"/>
      <c r="AB19" s="193"/>
      <c r="AC19" s="123"/>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row>
    <row r="20" spans="1:147" outlineLevel="1">
      <c r="A20" s="116"/>
      <c r="B20" s="116" t="s">
        <v>967</v>
      </c>
      <c r="C20" s="116">
        <v>2</v>
      </c>
      <c r="D20" s="3" t="s">
        <v>975</v>
      </c>
      <c r="E20" s="184"/>
      <c r="F20" s="184" t="s">
        <v>962</v>
      </c>
      <c r="G20" s="184"/>
      <c r="H20" s="184"/>
      <c r="I20" s="184"/>
      <c r="J20" s="184"/>
      <c r="K20" s="184"/>
      <c r="L20" s="184"/>
      <c r="M20" s="185">
        <v>43535</v>
      </c>
      <c r="N20" s="185">
        <v>43623</v>
      </c>
      <c r="O20" s="186"/>
      <c r="P20" s="187">
        <v>168</v>
      </c>
      <c r="Q20" s="187">
        <v>20</v>
      </c>
      <c r="R20" s="188">
        <v>63</v>
      </c>
      <c r="S20" s="188">
        <v>5</v>
      </c>
      <c r="T20" s="185"/>
      <c r="U20" s="185"/>
      <c r="V20" s="189">
        <v>0</v>
      </c>
      <c r="W20" s="190">
        <v>0</v>
      </c>
      <c r="X20" s="191"/>
      <c r="Y20" s="186"/>
      <c r="Z20" s="192"/>
      <c r="AA20" s="97">
        <v>0.11904761904761904</v>
      </c>
      <c r="AB20" s="193">
        <v>0.15476190476190477</v>
      </c>
      <c r="AC20" s="123"/>
      <c r="AD20" s="4"/>
      <c r="AE20" s="4"/>
      <c r="AF20" s="4"/>
      <c r="AG20" s="4" t="str">
        <f>" " &amp; TEXT(AB20,"#0.00%") &amp; " "</f>
        <v xml:space="preserve"> 15.48% </v>
      </c>
      <c r="AH20" s="4"/>
      <c r="AI20" s="4"/>
      <c r="AJ20" s="4"/>
      <c r="AK20" s="4"/>
      <c r="AL20" s="4"/>
      <c r="AM20" s="4"/>
      <c r="AN20" s="4"/>
      <c r="AO20" s="4"/>
      <c r="AP20" s="4"/>
      <c r="AQ20" s="4" t="str">
        <f>"      " &amp; "개발" &amp; " " &amp; IF(M20="","",TEXT(M20,"M/D-")) &amp; IF(N20="","",TEXT(N20,"M/D")) &amp; " "</f>
        <v xml:space="preserve">      개발 3/11-6/7 </v>
      </c>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row>
    <row r="21" spans="1:147" outlineLevel="2">
      <c r="A21" s="116"/>
      <c r="B21" s="116" t="s">
        <v>967</v>
      </c>
      <c r="C21" s="116">
        <v>3</v>
      </c>
      <c r="D21" s="3" t="s">
        <v>976</v>
      </c>
      <c r="E21" s="184"/>
      <c r="F21" s="184"/>
      <c r="G21" s="184" t="s">
        <v>1048</v>
      </c>
      <c r="H21" s="184"/>
      <c r="I21" s="184"/>
      <c r="J21" s="184"/>
      <c r="K21" s="184"/>
      <c r="L21" s="184"/>
      <c r="M21" s="185">
        <v>43535</v>
      </c>
      <c r="N21" s="185">
        <v>43542</v>
      </c>
      <c r="O21" s="186"/>
      <c r="P21" s="187">
        <v>18</v>
      </c>
      <c r="Q21" s="187">
        <v>15</v>
      </c>
      <c r="R21" s="188">
        <v>6</v>
      </c>
      <c r="S21" s="188">
        <v>5</v>
      </c>
      <c r="T21" s="185"/>
      <c r="U21" s="185"/>
      <c r="V21" s="189">
        <v>0</v>
      </c>
      <c r="W21" s="190">
        <v>0</v>
      </c>
      <c r="X21" s="191"/>
      <c r="Y21" s="186"/>
      <c r="Z21" s="192"/>
      <c r="AA21" s="97">
        <v>0.83333333333333337</v>
      </c>
      <c r="AB21" s="193">
        <v>1</v>
      </c>
      <c r="AC21" s="123"/>
      <c r="AD21" s="4"/>
      <c r="AE21" s="4"/>
      <c r="AF21" s="4" t="str">
        <f>"  " &amp; TEXT(AB21,"#0.00%") &amp; " " &amp; "개발 환경 구축" &amp; " " &amp; IF(M21="","",TEXT(M21,"M/D-")) &amp; IF(N21="","",TEXT(N21,"M/D")) &amp; " "</f>
        <v xml:space="preserve">  100.00% 개발 환경 구축 3/11-3/18 </v>
      </c>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row>
    <row r="22" spans="1:147" outlineLevel="3">
      <c r="A22" s="116"/>
      <c r="B22" s="116"/>
      <c r="C22" s="116">
        <v>4</v>
      </c>
      <c r="D22" s="3" t="s">
        <v>963</v>
      </c>
      <c r="E22" s="184"/>
      <c r="F22" s="184"/>
      <c r="G22" s="184"/>
      <c r="H22" s="184" t="s">
        <v>1058</v>
      </c>
      <c r="I22" s="184"/>
      <c r="J22" s="184"/>
      <c r="K22" s="184"/>
      <c r="L22" s="184"/>
      <c r="M22" s="185">
        <v>43535</v>
      </c>
      <c r="N22" s="185">
        <v>43542</v>
      </c>
      <c r="O22" s="186"/>
      <c r="P22" s="187">
        <v>6</v>
      </c>
      <c r="Q22" s="187">
        <v>5</v>
      </c>
      <c r="R22" s="188">
        <v>6</v>
      </c>
      <c r="S22" s="188">
        <v>5</v>
      </c>
      <c r="T22" s="185"/>
      <c r="U22" s="185"/>
      <c r="V22" s="189"/>
      <c r="W22" s="190">
        <v>0</v>
      </c>
      <c r="X22" s="191">
        <v>1</v>
      </c>
      <c r="Y22" s="186" t="s">
        <v>1101</v>
      </c>
      <c r="Z22" s="192"/>
      <c r="AA22" s="97">
        <v>0.83333333333333337</v>
      </c>
      <c r="AB22" s="193">
        <v>1</v>
      </c>
      <c r="AC22" s="123"/>
      <c r="AD22" s="4"/>
      <c r="AE22" s="4"/>
      <c r="AF22" s="4" t="str">
        <f>"  " &amp; TEXT(AB22,"#0.00%") &amp; " " &amp; "프론트 엔드" &amp; "(김소민, 김승연)" &amp; " " &amp; IF(M22="","",TEXT(M22,"M/D-")) &amp; IF(N22="","",TEXT(N22,"M/D")) &amp; " "</f>
        <v xml:space="preserve">  100.00% 프론트 엔드(김소민, 김승연) 3/11-3/18 </v>
      </c>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row>
    <row r="23" spans="1:147" outlineLevel="3">
      <c r="A23" s="116"/>
      <c r="B23" s="116"/>
      <c r="C23" s="116">
        <v>4</v>
      </c>
      <c r="D23" s="3" t="s">
        <v>977</v>
      </c>
      <c r="E23" s="184"/>
      <c r="F23" s="184"/>
      <c r="G23" s="184"/>
      <c r="H23" s="184" t="s">
        <v>1049</v>
      </c>
      <c r="I23" s="184"/>
      <c r="J23" s="184"/>
      <c r="K23" s="184"/>
      <c r="L23" s="184"/>
      <c r="M23" s="185">
        <v>43535</v>
      </c>
      <c r="N23" s="185">
        <v>43542</v>
      </c>
      <c r="O23" s="186"/>
      <c r="P23" s="187">
        <v>6</v>
      </c>
      <c r="Q23" s="187">
        <v>5</v>
      </c>
      <c r="R23" s="188">
        <v>6</v>
      </c>
      <c r="S23" s="188">
        <v>5</v>
      </c>
      <c r="T23" s="185"/>
      <c r="U23" s="185"/>
      <c r="V23" s="189"/>
      <c r="W23" s="190">
        <v>0</v>
      </c>
      <c r="X23" s="191">
        <v>1</v>
      </c>
      <c r="Y23" s="186" t="s">
        <v>1103</v>
      </c>
      <c r="Z23" s="192"/>
      <c r="AA23" s="97">
        <v>0.83333333333333337</v>
      </c>
      <c r="AB23" s="193">
        <v>1</v>
      </c>
      <c r="AC23" s="123"/>
      <c r="AD23" s="4"/>
      <c r="AE23" s="4"/>
      <c r="AF23" s="4" t="str">
        <f>"  " &amp; TEXT(AB23,"#0.00%") &amp; " " &amp; "백 엔드" &amp; "(최찬민, 조혜경)" &amp; " " &amp; IF(M23="","",TEXT(M23,"M/D-")) &amp; IF(N23="","",TEXT(N23,"M/D")) &amp; " "</f>
        <v xml:space="preserve">  100.00% 백 엔드(최찬민, 조혜경) 3/11-3/18 </v>
      </c>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row>
    <row r="24" spans="1:147" outlineLevel="3">
      <c r="A24" s="116"/>
      <c r="B24" s="116"/>
      <c r="C24" s="116">
        <v>4</v>
      </c>
      <c r="D24" s="3" t="s">
        <v>1085</v>
      </c>
      <c r="E24" s="184"/>
      <c r="F24" s="184"/>
      <c r="G24" s="184"/>
      <c r="H24" s="184" t="s">
        <v>1059</v>
      </c>
      <c r="I24" s="184"/>
      <c r="J24" s="184"/>
      <c r="K24" s="184"/>
      <c r="L24" s="184"/>
      <c r="M24" s="185">
        <v>43535</v>
      </c>
      <c r="N24" s="185">
        <v>43542</v>
      </c>
      <c r="O24" s="186"/>
      <c r="P24" s="187">
        <v>6</v>
      </c>
      <c r="Q24" s="187">
        <v>5</v>
      </c>
      <c r="R24" s="188">
        <v>6</v>
      </c>
      <c r="S24" s="188">
        <v>5</v>
      </c>
      <c r="T24" s="185"/>
      <c r="U24" s="185"/>
      <c r="V24" s="189"/>
      <c r="W24" s="190">
        <v>0</v>
      </c>
      <c r="X24" s="191">
        <v>1</v>
      </c>
      <c r="Y24" s="215" t="s">
        <v>1100</v>
      </c>
      <c r="Z24" s="192"/>
      <c r="AA24" s="97">
        <v>0.83333333333333337</v>
      </c>
      <c r="AB24" s="193">
        <v>1</v>
      </c>
      <c r="AC24" s="123"/>
      <c r="AD24" s="4"/>
      <c r="AE24" s="4"/>
      <c r="AF24" s="4" t="str">
        <f>"  " &amp; TEXT(AB24,"#0.00%") &amp; " " &amp; "백 엔드-파이썬" &amp; "(이수재)" &amp; " " &amp; IF(M24="","",TEXT(M24,"M/D-")) &amp; IF(N24="","",TEXT(N24,"M/D")) &amp; " "</f>
        <v xml:space="preserve">  100.00% 백 엔드-파이썬(이수재) 3/11-3/18 </v>
      </c>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row>
    <row r="25" spans="1:147" outlineLevel="3">
      <c r="A25" s="116"/>
      <c r="B25" s="116"/>
      <c r="C25" s="116">
        <v>0</v>
      </c>
      <c r="D25" s="3"/>
      <c r="E25" s="184"/>
      <c r="F25" s="184"/>
      <c r="G25" s="184"/>
      <c r="H25" s="184"/>
      <c r="I25" s="184"/>
      <c r="J25" s="184"/>
      <c r="K25" s="184"/>
      <c r="L25" s="184"/>
      <c r="M25" s="185"/>
      <c r="N25" s="185"/>
      <c r="O25" s="186"/>
      <c r="P25" s="187"/>
      <c r="Q25" s="187"/>
      <c r="R25" s="188">
        <v>0</v>
      </c>
      <c r="S25" s="188">
        <v>0</v>
      </c>
      <c r="T25" s="185"/>
      <c r="U25" s="185"/>
      <c r="V25" s="189"/>
      <c r="W25" s="190">
        <v>0</v>
      </c>
      <c r="X25" s="191"/>
      <c r="Y25" s="186"/>
      <c r="Z25" s="192"/>
      <c r="AA25" s="97"/>
      <c r="AB25" s="193"/>
      <c r="AC25" s="123"/>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row>
    <row r="26" spans="1:147" outlineLevel="2">
      <c r="A26" s="116"/>
      <c r="B26" s="116" t="s">
        <v>967</v>
      </c>
      <c r="C26" s="116">
        <v>3</v>
      </c>
      <c r="D26" s="3" t="s">
        <v>978</v>
      </c>
      <c r="E26" s="184"/>
      <c r="F26" s="184"/>
      <c r="G26" s="184" t="s">
        <v>1060</v>
      </c>
      <c r="H26" s="184"/>
      <c r="I26" s="184"/>
      <c r="J26" s="184"/>
      <c r="K26" s="184"/>
      <c r="L26" s="184"/>
      <c r="M26" s="185">
        <v>43535</v>
      </c>
      <c r="N26" s="185">
        <v>43565</v>
      </c>
      <c r="O26" s="186"/>
      <c r="P26" s="187">
        <v>119</v>
      </c>
      <c r="Q26" s="187">
        <v>5</v>
      </c>
      <c r="R26" s="188">
        <v>23</v>
      </c>
      <c r="S26" s="188">
        <v>5</v>
      </c>
      <c r="T26" s="185"/>
      <c r="U26" s="185"/>
      <c r="V26" s="189">
        <v>0</v>
      </c>
      <c r="W26" s="190">
        <v>0</v>
      </c>
      <c r="X26" s="191"/>
      <c r="Y26" s="186"/>
      <c r="Z26" s="192"/>
      <c r="AA26" s="97">
        <v>4.2016806722689079E-2</v>
      </c>
      <c r="AB26" s="193">
        <v>6.7226890756302518E-2</v>
      </c>
      <c r="AC26" s="123"/>
      <c r="AD26" s="4"/>
      <c r="AE26" s="4" t="str">
        <f>"   " &amp; TEXT(AB26,"#0.00%") &amp; " "</f>
        <v xml:space="preserve">   6.72% </v>
      </c>
      <c r="AF26" s="4"/>
      <c r="AG26" s="4"/>
      <c r="AH26" s="4"/>
      <c r="AI26" s="4" t="str">
        <f>"    " &amp; "기능 구현" &amp; " " &amp; IF(M26="","",TEXT(M26,"M/D-")) &amp; IF(N26="","",TEXT(N26,"M/D")) &amp; " "</f>
        <v xml:space="preserve">    기능 구현 3/11-4/10 </v>
      </c>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row>
    <row r="27" spans="1:147" outlineLevel="3">
      <c r="A27" s="116"/>
      <c r="B27" s="116" t="s">
        <v>967</v>
      </c>
      <c r="C27" s="116">
        <v>4</v>
      </c>
      <c r="D27" s="3" t="s">
        <v>964</v>
      </c>
      <c r="E27" s="184"/>
      <c r="F27" s="184"/>
      <c r="G27" s="184"/>
      <c r="H27" s="184" t="s">
        <v>1058</v>
      </c>
      <c r="I27" s="184"/>
      <c r="J27" s="184"/>
      <c r="K27" s="184"/>
      <c r="L27" s="184"/>
      <c r="M27" s="185">
        <v>43542</v>
      </c>
      <c r="N27" s="185">
        <v>43565</v>
      </c>
      <c r="O27" s="186"/>
      <c r="P27" s="187">
        <v>53</v>
      </c>
      <c r="Q27" s="187">
        <v>0</v>
      </c>
      <c r="R27" s="188">
        <v>18</v>
      </c>
      <c r="S27" s="188">
        <v>0</v>
      </c>
      <c r="T27" s="185"/>
      <c r="U27" s="185"/>
      <c r="V27" s="189">
        <v>0</v>
      </c>
      <c r="W27" s="190">
        <v>0</v>
      </c>
      <c r="X27" s="191"/>
      <c r="Y27" s="186"/>
      <c r="Z27" s="192"/>
      <c r="AA27" s="97">
        <v>0</v>
      </c>
      <c r="AB27" s="193">
        <v>0</v>
      </c>
      <c r="AC27" s="123"/>
      <c r="AD27" s="4"/>
      <c r="AE27" s="4"/>
      <c r="AF27" s="4" t="str">
        <f>" " &amp; TEXT(AB27,"#0.00%") &amp; " "</f>
        <v xml:space="preserve"> 0.00% </v>
      </c>
      <c r="AG27" s="4"/>
      <c r="AH27" s="4"/>
      <c r="AI27" s="4" t="str">
        <f>"    " &amp; "프론트 엔드" &amp; " " &amp; IF(M27="","",TEXT(M27,"M/D-")) &amp; IF(N27="","",TEXT(N27,"M/D")) &amp; " "</f>
        <v xml:space="preserve">    프론트 엔드 3/18-4/10 </v>
      </c>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row>
    <row r="28" spans="1:147" outlineLevel="4">
      <c r="A28" s="116"/>
      <c r="B28" s="116" t="s">
        <v>967</v>
      </c>
      <c r="C28" s="116">
        <v>5</v>
      </c>
      <c r="D28" s="3" t="s">
        <v>1086</v>
      </c>
      <c r="E28" s="184"/>
      <c r="F28" s="184"/>
      <c r="G28" s="184"/>
      <c r="H28" s="184"/>
      <c r="I28" s="184" t="s">
        <v>1111</v>
      </c>
      <c r="J28" s="184"/>
      <c r="K28" s="184"/>
      <c r="L28" s="184"/>
      <c r="M28" s="185">
        <v>43542</v>
      </c>
      <c r="N28" s="185">
        <v>43552</v>
      </c>
      <c r="O28" s="186"/>
      <c r="P28" s="187">
        <v>14</v>
      </c>
      <c r="Q28" s="187">
        <v>0</v>
      </c>
      <c r="R28" s="188">
        <v>9</v>
      </c>
      <c r="S28" s="188">
        <v>0</v>
      </c>
      <c r="T28" s="185"/>
      <c r="U28" s="185"/>
      <c r="V28" s="189">
        <v>0</v>
      </c>
      <c r="W28" s="190">
        <v>0</v>
      </c>
      <c r="X28" s="191"/>
      <c r="Y28" s="186"/>
      <c r="Z28" s="192"/>
      <c r="AA28" s="97">
        <v>0</v>
      </c>
      <c r="AB28" s="193">
        <v>0</v>
      </c>
      <c r="AC28" s="123"/>
      <c r="AD28" s="4"/>
      <c r="AE28" s="4"/>
      <c r="AF28" s="4" t="str">
        <f>" " &amp; TEXT(AB28,"#0.00%") &amp; " " &amp; "기본 기능" &amp; " " &amp; IF(M28="","",TEXT(M28,"M/D-")) &amp; IF(N28="","",TEXT(N28,"M/D")) &amp; " "</f>
        <v xml:space="preserve"> 0.00% 기본 기능 3/18-3/28 </v>
      </c>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row>
    <row r="29" spans="1:147" outlineLevel="5">
      <c r="A29" s="116"/>
      <c r="B29" s="116"/>
      <c r="C29" s="116">
        <v>6</v>
      </c>
      <c r="D29" s="3" t="s">
        <v>1122</v>
      </c>
      <c r="E29" s="184"/>
      <c r="F29" s="184"/>
      <c r="G29" s="184"/>
      <c r="H29" s="212"/>
      <c r="I29" s="184"/>
      <c r="J29" s="184" t="s">
        <v>1140</v>
      </c>
      <c r="K29" s="184"/>
      <c r="L29" s="184"/>
      <c r="M29" s="185">
        <v>43542</v>
      </c>
      <c r="N29" s="185">
        <v>43545</v>
      </c>
      <c r="O29" s="186"/>
      <c r="P29" s="187">
        <v>4</v>
      </c>
      <c r="Q29" s="187">
        <v>0</v>
      </c>
      <c r="R29" s="188">
        <v>4</v>
      </c>
      <c r="S29" s="188">
        <v>0</v>
      </c>
      <c r="T29" s="185"/>
      <c r="U29" s="185"/>
      <c r="V29" s="189"/>
      <c r="W29" s="190">
        <v>0</v>
      </c>
      <c r="X29" s="191">
        <v>1</v>
      </c>
      <c r="Y29" s="215" t="s">
        <v>1106</v>
      </c>
      <c r="Z29" s="192"/>
      <c r="AA29" s="97">
        <v>0</v>
      </c>
      <c r="AB29" s="193">
        <v>0</v>
      </c>
      <c r="AC29" s="123"/>
      <c r="AD29" s="4"/>
      <c r="AE29" s="4"/>
      <c r="AF29" s="4" t="str">
        <f>" " &amp; TEXT(AB29,"#0.00%") &amp; " " &amp; "회원가입 및 로그인" &amp; "(김소민)" &amp; " " &amp; IF(M29="","",TEXT(M29,"M/D-")) &amp; IF(N29="","",TEXT(N29,"M/D")) &amp; " "</f>
        <v xml:space="preserve"> 0.00% 회원가입 및 로그인(김소민) 3/18-3/21 </v>
      </c>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row>
    <row r="30" spans="1:147" outlineLevel="5">
      <c r="A30" s="116"/>
      <c r="B30" s="116"/>
      <c r="C30" s="116">
        <v>6</v>
      </c>
      <c r="D30" s="3" t="s">
        <v>1123</v>
      </c>
      <c r="E30" s="184"/>
      <c r="F30" s="184"/>
      <c r="G30" s="184"/>
      <c r="H30" s="212"/>
      <c r="I30" s="184"/>
      <c r="J30" s="184" t="s">
        <v>1138</v>
      </c>
      <c r="K30" s="184"/>
      <c r="L30" s="184"/>
      <c r="M30" s="185">
        <v>43545</v>
      </c>
      <c r="N30" s="185">
        <v>43549</v>
      </c>
      <c r="O30" s="186"/>
      <c r="P30" s="187">
        <v>3</v>
      </c>
      <c r="Q30" s="187">
        <v>0</v>
      </c>
      <c r="R30" s="188">
        <v>3</v>
      </c>
      <c r="S30" s="188">
        <v>0</v>
      </c>
      <c r="T30" s="185"/>
      <c r="U30" s="185"/>
      <c r="V30" s="189"/>
      <c r="W30" s="190">
        <v>0</v>
      </c>
      <c r="X30" s="191">
        <v>1</v>
      </c>
      <c r="Y30" s="215" t="s">
        <v>1101</v>
      </c>
      <c r="Z30" s="192"/>
      <c r="AA30" s="97">
        <v>0</v>
      </c>
      <c r="AB30" s="193">
        <v>0</v>
      </c>
      <c r="AC30" s="123"/>
      <c r="AD30" s="4"/>
      <c r="AE30" s="4"/>
      <c r="AF30" s="4" t="str">
        <f>"    " &amp; TEXT(AB30,"#0.00%") &amp; " " &amp; "영상 목록 및 검색" &amp; "(김소민, 김승연)" &amp; " " &amp; IF(M30="","",TEXT(M30,"M/D-")) &amp; IF(N30="","",TEXT(N30,"M/D")) &amp; " "</f>
        <v xml:space="preserve">    0.00% 영상 목록 및 검색(김소민, 김승연) 3/21-3/25 </v>
      </c>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row>
    <row r="31" spans="1:147" outlineLevel="5">
      <c r="A31" s="116"/>
      <c r="B31" s="116"/>
      <c r="C31" s="116">
        <v>6</v>
      </c>
      <c r="D31" s="3" t="s">
        <v>1145</v>
      </c>
      <c r="E31" s="184"/>
      <c r="F31" s="184"/>
      <c r="G31" s="184"/>
      <c r="H31" s="184"/>
      <c r="I31" s="184"/>
      <c r="J31" s="184" t="s">
        <v>1121</v>
      </c>
      <c r="K31" s="184"/>
      <c r="L31" s="184"/>
      <c r="M31" s="185">
        <v>43544</v>
      </c>
      <c r="N31" s="185">
        <v>43552</v>
      </c>
      <c r="O31" s="186"/>
      <c r="P31" s="187">
        <v>7</v>
      </c>
      <c r="Q31" s="187">
        <v>0</v>
      </c>
      <c r="R31" s="188">
        <v>7</v>
      </c>
      <c r="S31" s="188">
        <v>0</v>
      </c>
      <c r="T31" s="185"/>
      <c r="U31" s="185"/>
      <c r="V31" s="189"/>
      <c r="W31" s="190">
        <v>0</v>
      </c>
      <c r="X31" s="191">
        <v>1</v>
      </c>
      <c r="Y31" s="215" t="s">
        <v>1106</v>
      </c>
      <c r="Z31" s="192"/>
      <c r="AA31" s="97">
        <v>0</v>
      </c>
      <c r="AB31" s="193">
        <v>0</v>
      </c>
      <c r="AC31" s="123"/>
      <c r="AD31" s="4"/>
      <c r="AE31" s="4"/>
      <c r="AF31" s="4" t="str">
        <f>"   " &amp; TEXT(AB31,"#0.00%") &amp; " " &amp; "히스토리 및 구독" &amp; "(김소민)" &amp; " " &amp; IF(M31="","",TEXT(M31,"M/D-")) &amp; IF(N31="","",TEXT(N31,"M/D")) &amp; " "</f>
        <v xml:space="preserve">   0.00% 히스토리 및 구독(김소민) 3/20-3/28 </v>
      </c>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row>
    <row r="32" spans="1:147" outlineLevel="5">
      <c r="A32" s="116"/>
      <c r="B32" s="116"/>
      <c r="C32" s="116">
        <v>0</v>
      </c>
      <c r="D32" s="3"/>
      <c r="E32" s="184"/>
      <c r="F32" s="184"/>
      <c r="G32" s="184"/>
      <c r="H32" s="212"/>
      <c r="I32" s="184"/>
      <c r="J32" s="184"/>
      <c r="K32" s="184"/>
      <c r="L32" s="184"/>
      <c r="M32" s="185"/>
      <c r="N32" s="185"/>
      <c r="O32" s="186"/>
      <c r="P32" s="187"/>
      <c r="Q32" s="187"/>
      <c r="R32" s="188">
        <v>0</v>
      </c>
      <c r="S32" s="188">
        <v>0</v>
      </c>
      <c r="T32" s="185"/>
      <c r="U32" s="185"/>
      <c r="V32" s="189"/>
      <c r="W32" s="190">
        <v>0</v>
      </c>
      <c r="X32" s="191"/>
      <c r="Y32" s="215"/>
      <c r="Z32" s="192"/>
      <c r="AA32" s="97"/>
      <c r="AB32" s="193"/>
      <c r="AC32" s="123"/>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row>
    <row r="33" spans="1:147" outlineLevel="4">
      <c r="A33" s="116"/>
      <c r="B33" s="116" t="s">
        <v>967</v>
      </c>
      <c r="C33" s="116">
        <v>5</v>
      </c>
      <c r="D33" s="3" t="s">
        <v>1087</v>
      </c>
      <c r="E33" s="184"/>
      <c r="F33" s="184"/>
      <c r="G33" s="184"/>
      <c r="H33" s="184"/>
      <c r="I33" s="184" t="s">
        <v>1112</v>
      </c>
      <c r="J33" s="184"/>
      <c r="K33" s="184"/>
      <c r="L33" s="184"/>
      <c r="M33" s="185">
        <v>43542</v>
      </c>
      <c r="N33" s="185">
        <v>43556</v>
      </c>
      <c r="O33" s="186"/>
      <c r="P33" s="187">
        <v>22</v>
      </c>
      <c r="Q33" s="187">
        <v>0</v>
      </c>
      <c r="R33" s="188">
        <v>11</v>
      </c>
      <c r="S33" s="188">
        <v>0</v>
      </c>
      <c r="T33" s="185"/>
      <c r="U33" s="185"/>
      <c r="V33" s="189">
        <v>0</v>
      </c>
      <c r="W33" s="190">
        <v>0</v>
      </c>
      <c r="X33" s="191"/>
      <c r="Y33" s="215"/>
      <c r="Z33" s="192"/>
      <c r="AA33" s="97">
        <v>0</v>
      </c>
      <c r="AB33" s="193">
        <v>0</v>
      </c>
      <c r="AC33" s="123"/>
      <c r="AD33" s="4"/>
      <c r="AE33" s="4"/>
      <c r="AF33" s="4" t="str">
        <f>" " &amp; TEXT(AB33,"#0.00%") &amp; " " &amp; "영상 관련 기능" &amp; " " &amp; IF(M33="","",TEXT(M33,"M/D-")) &amp; IF(N33="","",TEXT(N33,"M/D")) &amp; " "</f>
        <v xml:space="preserve"> 0.00% 영상 관련 기능 3/18-4/1 </v>
      </c>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row>
    <row r="34" spans="1:147" outlineLevel="5">
      <c r="A34" s="116"/>
      <c r="B34" s="116"/>
      <c r="C34" s="116">
        <v>6</v>
      </c>
      <c r="D34" s="3" t="s">
        <v>1124</v>
      </c>
      <c r="E34" s="184"/>
      <c r="F34" s="184"/>
      <c r="G34" s="184"/>
      <c r="H34" s="212"/>
      <c r="I34" s="184"/>
      <c r="J34" s="184" t="s">
        <v>1141</v>
      </c>
      <c r="K34" s="184"/>
      <c r="L34" s="184"/>
      <c r="M34" s="185">
        <v>43542</v>
      </c>
      <c r="N34" s="185">
        <v>43544</v>
      </c>
      <c r="O34" s="186"/>
      <c r="P34" s="187">
        <v>3</v>
      </c>
      <c r="Q34" s="187">
        <v>0</v>
      </c>
      <c r="R34" s="188">
        <v>3</v>
      </c>
      <c r="S34" s="188">
        <v>0</v>
      </c>
      <c r="T34" s="185"/>
      <c r="U34" s="185"/>
      <c r="V34" s="189"/>
      <c r="W34" s="190">
        <v>0</v>
      </c>
      <c r="X34" s="191">
        <v>1</v>
      </c>
      <c r="Y34" s="215" t="s">
        <v>1195</v>
      </c>
      <c r="Z34" s="192"/>
      <c r="AA34" s="97">
        <v>0</v>
      </c>
      <c r="AB34" s="193">
        <v>0</v>
      </c>
      <c r="AC34" s="123"/>
      <c r="AD34" s="4"/>
      <c r="AE34" s="4"/>
      <c r="AF34" s="4" t="str">
        <f>" " &amp; TEXT(AB34,"#0.00%") &amp; " " &amp; "업로드 및 스트리밍" &amp; "(김승연, 최찬민)" &amp; " " &amp; IF(M34="","",TEXT(M34,"M/D-")) &amp; IF(N34="","",TEXT(N34,"M/D")) &amp; " "</f>
        <v xml:space="preserve"> 0.00% 업로드 및 스트리밍(김승연, 최찬민) 3/18-3/20 </v>
      </c>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row>
    <row r="35" spans="1:147" outlineLevel="5">
      <c r="A35" s="116"/>
      <c r="B35" s="116"/>
      <c r="C35" s="116">
        <v>6</v>
      </c>
      <c r="D35" s="3" t="s">
        <v>1125</v>
      </c>
      <c r="E35" s="184"/>
      <c r="F35" s="184"/>
      <c r="G35" s="184"/>
      <c r="H35" s="184"/>
      <c r="I35" s="184"/>
      <c r="J35" s="184" t="s">
        <v>1113</v>
      </c>
      <c r="K35" s="184"/>
      <c r="L35" s="184"/>
      <c r="M35" s="185">
        <v>43544</v>
      </c>
      <c r="N35" s="185">
        <v>43546</v>
      </c>
      <c r="O35" s="186"/>
      <c r="P35" s="187">
        <v>3</v>
      </c>
      <c r="Q35" s="187">
        <v>0</v>
      </c>
      <c r="R35" s="188">
        <v>3</v>
      </c>
      <c r="S35" s="188">
        <v>0</v>
      </c>
      <c r="T35" s="185"/>
      <c r="U35" s="185"/>
      <c r="V35" s="189"/>
      <c r="W35" s="190">
        <v>0</v>
      </c>
      <c r="X35" s="191">
        <v>1</v>
      </c>
      <c r="Y35" s="215" t="s">
        <v>1108</v>
      </c>
      <c r="Z35" s="192"/>
      <c r="AA35" s="97">
        <v>0</v>
      </c>
      <c r="AB35" s="193">
        <v>0</v>
      </c>
      <c r="AC35" s="123"/>
      <c r="AD35" s="4"/>
      <c r="AE35" s="4"/>
      <c r="AF35" s="4" t="str">
        <f>"   " &amp; TEXT(AB35,"#0.00%") &amp; " " &amp; "영상 편집 툴" &amp; "(김승연, 이수재)" &amp; " " &amp; IF(M35="","",TEXT(M35,"M/D-")) &amp; IF(N35="","",TEXT(N35,"M/D")) &amp; " "</f>
        <v xml:space="preserve">   0.00% 영상 편집 툴(김승연, 이수재) 3/20-3/22 </v>
      </c>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row>
    <row r="36" spans="1:147" outlineLevel="5">
      <c r="A36" s="116"/>
      <c r="B36" s="116"/>
      <c r="C36" s="116">
        <v>6</v>
      </c>
      <c r="D36" s="3" t="s">
        <v>1126</v>
      </c>
      <c r="E36" s="184"/>
      <c r="F36" s="184"/>
      <c r="G36" s="184"/>
      <c r="H36" s="184"/>
      <c r="I36" s="184"/>
      <c r="J36" s="184" t="s">
        <v>1114</v>
      </c>
      <c r="K36" s="184"/>
      <c r="L36" s="184"/>
      <c r="M36" s="185">
        <v>43546</v>
      </c>
      <c r="N36" s="185">
        <v>43549</v>
      </c>
      <c r="O36" s="186"/>
      <c r="P36" s="187">
        <v>2</v>
      </c>
      <c r="Q36" s="187">
        <v>0</v>
      </c>
      <c r="R36" s="188">
        <v>2</v>
      </c>
      <c r="S36" s="188">
        <v>0</v>
      </c>
      <c r="T36" s="185"/>
      <c r="U36" s="185"/>
      <c r="V36" s="189"/>
      <c r="W36" s="190">
        <v>0</v>
      </c>
      <c r="X36" s="191">
        <v>1</v>
      </c>
      <c r="Y36" s="215" t="s">
        <v>1107</v>
      </c>
      <c r="Z36" s="192"/>
      <c r="AA36" s="97">
        <v>0</v>
      </c>
      <c r="AB36" s="193">
        <v>0</v>
      </c>
      <c r="AC36" s="123"/>
      <c r="AD36" s="4"/>
      <c r="AE36" s="4"/>
      <c r="AF36" s="4" t="str">
        <f>"     " &amp; TEXT(AB36,"#0.00%") &amp; " " &amp; "자막 상호작용 기능" &amp; "(김승연)" &amp; " " &amp; IF(M36="","",TEXT(M36,"M/D-")) &amp; IF(N36="","",TEXT(N36,"M/D")) &amp; " "</f>
        <v xml:space="preserve">     0.00% 자막 상호작용 기능(김승연) 3/22-3/25 </v>
      </c>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row>
    <row r="37" spans="1:147" outlineLevel="5">
      <c r="A37" s="116"/>
      <c r="B37" s="116"/>
      <c r="C37" s="116">
        <v>6</v>
      </c>
      <c r="D37" s="3" t="s">
        <v>1127</v>
      </c>
      <c r="E37" s="184"/>
      <c r="F37" s="184"/>
      <c r="G37" s="184"/>
      <c r="H37" s="184"/>
      <c r="I37" s="184"/>
      <c r="J37" s="184" t="s">
        <v>1115</v>
      </c>
      <c r="K37" s="184"/>
      <c r="L37" s="184"/>
      <c r="M37" s="185">
        <v>43552</v>
      </c>
      <c r="N37" s="185">
        <v>43556</v>
      </c>
      <c r="O37" s="186"/>
      <c r="P37" s="187">
        <v>3</v>
      </c>
      <c r="Q37" s="187">
        <v>0</v>
      </c>
      <c r="R37" s="188">
        <v>3</v>
      </c>
      <c r="S37" s="188">
        <v>0</v>
      </c>
      <c r="T37" s="185"/>
      <c r="U37" s="185"/>
      <c r="V37" s="189"/>
      <c r="W37" s="190">
        <v>0</v>
      </c>
      <c r="X37" s="191">
        <v>1</v>
      </c>
      <c r="Y37" s="215" t="s">
        <v>1107</v>
      </c>
      <c r="Z37" s="192"/>
      <c r="AA37" s="97">
        <v>0</v>
      </c>
      <c r="AB37" s="193">
        <v>0</v>
      </c>
      <c r="AC37" s="123"/>
      <c r="AD37" s="4"/>
      <c r="AE37" s="4"/>
      <c r="AF37" s="4"/>
      <c r="AG37" s="4" t="str">
        <f>"    " &amp; TEXT(AB37,"#0.00%") &amp; " " &amp; "북마크 기능" &amp; "(김승연)" &amp; " " &amp; IF(M37="","",TEXT(M37,"M/D-")) &amp; IF(N37="","",TEXT(N37,"M/D")) &amp; " "</f>
        <v xml:space="preserve">    0.00% 북마크 기능(김승연) 3/28-4/1 </v>
      </c>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row>
    <row r="38" spans="1:147" outlineLevel="5">
      <c r="A38" s="116"/>
      <c r="B38" s="116"/>
      <c r="C38" s="116">
        <v>6</v>
      </c>
      <c r="D38" s="3" t="s">
        <v>1128</v>
      </c>
      <c r="E38" s="184"/>
      <c r="F38" s="184"/>
      <c r="G38" s="184"/>
      <c r="H38" s="212"/>
      <c r="I38" s="184"/>
      <c r="J38" s="184" t="s">
        <v>1116</v>
      </c>
      <c r="K38" s="184"/>
      <c r="L38" s="184"/>
      <c r="M38" s="185">
        <v>43549</v>
      </c>
      <c r="N38" s="185">
        <v>43552</v>
      </c>
      <c r="O38" s="186"/>
      <c r="P38" s="187">
        <v>4</v>
      </c>
      <c r="Q38" s="187">
        <v>0</v>
      </c>
      <c r="R38" s="188">
        <v>4</v>
      </c>
      <c r="S38" s="188">
        <v>0</v>
      </c>
      <c r="T38" s="185"/>
      <c r="U38" s="185"/>
      <c r="V38" s="189"/>
      <c r="W38" s="190">
        <v>0</v>
      </c>
      <c r="X38" s="191">
        <v>1</v>
      </c>
      <c r="Y38" s="215" t="s">
        <v>1174</v>
      </c>
      <c r="Z38" s="192"/>
      <c r="AA38" s="97">
        <v>0</v>
      </c>
      <c r="AB38" s="193">
        <v>0</v>
      </c>
      <c r="AC38" s="123"/>
      <c r="AD38" s="4"/>
      <c r="AE38" s="4"/>
      <c r="AF38" s="4"/>
      <c r="AG38" s="4" t="str">
        <f>" " &amp; TEXT(AB38,"#0.00%") &amp; " " &amp; "참여형 서비스 기능" &amp; "(김승연, 김소민)" &amp; " " &amp; IF(M38="","",TEXT(M38,"M/D-")) &amp; IF(N38="","",TEXT(N38,"M/D")) &amp; " "</f>
        <v xml:space="preserve"> 0.00% 참여형 서비스 기능(김승연, 김소민) 3/25-3/28 </v>
      </c>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row>
    <row r="39" spans="1:147" outlineLevel="5">
      <c r="A39" s="116"/>
      <c r="B39" s="116"/>
      <c r="C39" s="116">
        <v>6</v>
      </c>
      <c r="D39" s="3" t="s">
        <v>1146</v>
      </c>
      <c r="E39" s="184"/>
      <c r="F39" s="184"/>
      <c r="G39" s="184"/>
      <c r="H39" s="184"/>
      <c r="I39" s="184"/>
      <c r="J39" s="184" t="s">
        <v>1139</v>
      </c>
      <c r="K39" s="184"/>
      <c r="L39" s="184"/>
      <c r="M39" s="185">
        <v>43552</v>
      </c>
      <c r="N39" s="185">
        <v>43556</v>
      </c>
      <c r="O39" s="186"/>
      <c r="P39" s="187">
        <v>3</v>
      </c>
      <c r="Q39" s="187">
        <v>0</v>
      </c>
      <c r="R39" s="188">
        <v>3</v>
      </c>
      <c r="S39" s="188">
        <v>0</v>
      </c>
      <c r="T39" s="185"/>
      <c r="U39" s="185"/>
      <c r="V39" s="189"/>
      <c r="W39" s="190">
        <v>0</v>
      </c>
      <c r="X39" s="191">
        <v>1</v>
      </c>
      <c r="Y39" s="215" t="s">
        <v>1174</v>
      </c>
      <c r="Z39" s="192"/>
      <c r="AA39" s="97">
        <v>0</v>
      </c>
      <c r="AB39" s="193">
        <v>0</v>
      </c>
      <c r="AC39" s="123"/>
      <c r="AD39" s="4"/>
      <c r="AE39" s="4"/>
      <c r="AF39" s="4"/>
      <c r="AG39" s="4" t="str">
        <f>"    " &amp; TEXT(AB39,"#0.00%") &amp; " " &amp; "영상 편집 문법 검색 서비스 추가" &amp; "(김승연, 김소민)" &amp; " " &amp; IF(M39="","",TEXT(M39,"M/D-")) &amp; IF(N39="","",TEXT(N39,"M/D")) &amp; " "</f>
        <v xml:space="preserve">    0.00% 영상 편집 문법 검색 서비스 추가(김승연, 김소민) 3/28-4/1 </v>
      </c>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row>
    <row r="40" spans="1:147" outlineLevel="5">
      <c r="A40" s="116"/>
      <c r="B40" s="116"/>
      <c r="C40" s="116">
        <v>6</v>
      </c>
      <c r="D40" s="3" t="s">
        <v>1147</v>
      </c>
      <c r="E40" s="184"/>
      <c r="F40" s="184"/>
      <c r="G40" s="184"/>
      <c r="H40" s="212"/>
      <c r="I40" s="184"/>
      <c r="J40" s="184" t="s">
        <v>1062</v>
      </c>
      <c r="K40" s="184"/>
      <c r="L40" s="184"/>
      <c r="M40" s="185">
        <v>43545</v>
      </c>
      <c r="N40" s="185">
        <v>43550</v>
      </c>
      <c r="O40" s="186"/>
      <c r="P40" s="187">
        <v>4</v>
      </c>
      <c r="Q40" s="187">
        <v>0</v>
      </c>
      <c r="R40" s="188">
        <v>4</v>
      </c>
      <c r="S40" s="188">
        <v>0</v>
      </c>
      <c r="T40" s="185"/>
      <c r="U40" s="185"/>
      <c r="V40" s="189"/>
      <c r="W40" s="190">
        <v>0</v>
      </c>
      <c r="X40" s="191">
        <v>1</v>
      </c>
      <c r="Y40" s="186" t="s">
        <v>1108</v>
      </c>
      <c r="Z40" s="192"/>
      <c r="AA40" s="97">
        <v>0</v>
      </c>
      <c r="AB40" s="193">
        <v>0</v>
      </c>
      <c r="AC40" s="123"/>
      <c r="AD40" s="4"/>
      <c r="AE40" s="4"/>
      <c r="AF40" s="4" t="str">
        <f>"    " &amp; TEXT(AB40,"#0.00%") &amp; " " &amp; "자막 싱크 교정" &amp; "(김승연, 이수재)" &amp; " " &amp; IF(M40="","",TEXT(M40,"M/D-")) &amp; IF(N40="","",TEXT(N40,"M/D")) &amp; " "</f>
        <v xml:space="preserve">    0.00% 자막 싱크 교정(김승연, 이수재) 3/21-3/26 </v>
      </c>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row>
    <row r="41" spans="1:147" outlineLevel="5">
      <c r="A41" s="116"/>
      <c r="B41" s="116"/>
      <c r="C41" s="116">
        <v>0</v>
      </c>
      <c r="D41" s="3"/>
      <c r="E41" s="184"/>
      <c r="F41" s="184"/>
      <c r="G41" s="184"/>
      <c r="H41" s="184"/>
      <c r="I41" s="184"/>
      <c r="J41" s="184"/>
      <c r="K41" s="184"/>
      <c r="L41" s="184"/>
      <c r="M41" s="185"/>
      <c r="N41" s="185"/>
      <c r="O41" s="186"/>
      <c r="P41" s="187"/>
      <c r="Q41" s="187"/>
      <c r="R41" s="188">
        <v>0</v>
      </c>
      <c r="S41" s="188">
        <v>0</v>
      </c>
      <c r="T41" s="185"/>
      <c r="U41" s="185"/>
      <c r="V41" s="189"/>
      <c r="W41" s="190">
        <v>0</v>
      </c>
      <c r="X41" s="191"/>
      <c r="Y41" s="215"/>
      <c r="Z41" s="192"/>
      <c r="AA41" s="97"/>
      <c r="AB41" s="193"/>
      <c r="AC41" s="123"/>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row>
    <row r="42" spans="1:147" outlineLevel="4">
      <c r="A42" s="116"/>
      <c r="B42" s="116" t="s">
        <v>967</v>
      </c>
      <c r="C42" s="116">
        <v>5</v>
      </c>
      <c r="D42" s="3" t="s">
        <v>1088</v>
      </c>
      <c r="E42" s="184"/>
      <c r="F42" s="184"/>
      <c r="G42" s="184"/>
      <c r="H42" s="184"/>
      <c r="I42" s="184" t="s">
        <v>1117</v>
      </c>
      <c r="J42" s="184"/>
      <c r="K42" s="184"/>
      <c r="L42" s="184"/>
      <c r="M42" s="185">
        <v>43550</v>
      </c>
      <c r="N42" s="185">
        <v>43565</v>
      </c>
      <c r="O42" s="186"/>
      <c r="P42" s="187">
        <v>17</v>
      </c>
      <c r="Q42" s="187">
        <v>0</v>
      </c>
      <c r="R42" s="188">
        <v>12</v>
      </c>
      <c r="S42" s="188">
        <v>0</v>
      </c>
      <c r="T42" s="185"/>
      <c r="U42" s="185"/>
      <c r="V42" s="189">
        <v>0</v>
      </c>
      <c r="W42" s="190">
        <v>0</v>
      </c>
      <c r="X42" s="191"/>
      <c r="Y42" s="215"/>
      <c r="Z42" s="192"/>
      <c r="AA42" s="97">
        <v>0</v>
      </c>
      <c r="AB42" s="193">
        <v>0</v>
      </c>
      <c r="AC42" s="123"/>
      <c r="AD42" s="4"/>
      <c r="AE42" s="4"/>
      <c r="AF42" s="4"/>
      <c r="AG42" s="4" t="str">
        <f>"  " &amp; TEXT(AB42,"#0.00%") &amp; " " &amp; "어학 관련 기능" &amp; " " &amp; IF(M42="","",TEXT(M42,"M/D-")) &amp; IF(N42="","",TEXT(N42,"M/D")) &amp; " "</f>
        <v xml:space="preserve">  0.00% 어학 관련 기능 3/26-4/10 </v>
      </c>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row>
    <row r="43" spans="1:147" outlineLevel="5">
      <c r="A43" s="116"/>
      <c r="B43" s="116"/>
      <c r="C43" s="116">
        <v>6</v>
      </c>
      <c r="D43" s="3" t="s">
        <v>1129</v>
      </c>
      <c r="E43" s="184"/>
      <c r="F43" s="184"/>
      <c r="G43" s="184"/>
      <c r="H43" s="212"/>
      <c r="I43" s="184"/>
      <c r="J43" s="214" t="s">
        <v>1136</v>
      </c>
      <c r="K43" s="184"/>
      <c r="L43" s="184"/>
      <c r="M43" s="185">
        <v>43556</v>
      </c>
      <c r="N43" s="185">
        <v>43558</v>
      </c>
      <c r="O43" s="186"/>
      <c r="P43" s="187">
        <v>3</v>
      </c>
      <c r="Q43" s="187">
        <v>0</v>
      </c>
      <c r="R43" s="188">
        <v>3</v>
      </c>
      <c r="S43" s="188">
        <v>0</v>
      </c>
      <c r="T43" s="185"/>
      <c r="U43" s="185"/>
      <c r="V43" s="189"/>
      <c r="W43" s="190">
        <v>0</v>
      </c>
      <c r="X43" s="191">
        <v>1</v>
      </c>
      <c r="Y43" s="215" t="s">
        <v>1109</v>
      </c>
      <c r="Z43" s="192"/>
      <c r="AA43" s="97">
        <v>0</v>
      </c>
      <c r="AB43" s="193">
        <v>0</v>
      </c>
      <c r="AC43" s="123"/>
      <c r="AD43" s="4"/>
      <c r="AE43" s="4"/>
      <c r="AF43" s="4"/>
      <c r="AG43" s="4"/>
      <c r="AH43" s="4" t="str">
        <f>" " &amp; TEXT(AB43,"#0.00%") &amp; " " &amp; "단어장 관리" &amp; "(김소민, 이수재)" &amp; " " &amp; IF(M43="","",TEXT(M43,"M/D-")) &amp; IF(N43="","",TEXT(N43,"M/D")) &amp; " "</f>
        <v xml:space="preserve"> 0.00% 단어장 관리(김소민, 이수재) 4/1-4/3 </v>
      </c>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row>
    <row r="44" spans="1:147" outlineLevel="5">
      <c r="A44" s="116"/>
      <c r="B44" s="116"/>
      <c r="C44" s="116">
        <v>6</v>
      </c>
      <c r="D44" s="3" t="s">
        <v>1130</v>
      </c>
      <c r="E44" s="184"/>
      <c r="F44" s="184"/>
      <c r="G44" s="184"/>
      <c r="H44" s="184"/>
      <c r="I44" s="184"/>
      <c r="J44" s="184" t="s">
        <v>1119</v>
      </c>
      <c r="K44" s="184"/>
      <c r="L44" s="184"/>
      <c r="M44" s="185">
        <v>43550</v>
      </c>
      <c r="N44" s="185">
        <v>43553</v>
      </c>
      <c r="O44" s="186"/>
      <c r="P44" s="187">
        <v>4</v>
      </c>
      <c r="Q44" s="187">
        <v>0</v>
      </c>
      <c r="R44" s="188">
        <v>4</v>
      </c>
      <c r="S44" s="188">
        <v>0</v>
      </c>
      <c r="T44" s="185"/>
      <c r="U44" s="185"/>
      <c r="V44" s="189"/>
      <c r="W44" s="190">
        <v>0</v>
      </c>
      <c r="X44" s="191">
        <v>1</v>
      </c>
      <c r="Y44" s="215" t="s">
        <v>1107</v>
      </c>
      <c r="Z44" s="192"/>
      <c r="AA44" s="97">
        <v>0</v>
      </c>
      <c r="AB44" s="193">
        <v>0</v>
      </c>
      <c r="AC44" s="123"/>
      <c r="AD44" s="4"/>
      <c r="AE44" s="4"/>
      <c r="AF44" s="4"/>
      <c r="AG44" s="4" t="str">
        <f>"  " &amp; TEXT(AB44,"#0.00%") &amp; " " &amp; "공동 문법 기능" &amp; "(김승연)" &amp; " " &amp; IF(M44="","",TEXT(M44,"M/D-")) &amp; IF(N44="","",TEXT(N44,"M/D")) &amp; " "</f>
        <v xml:space="preserve">  0.00% 공동 문법 기능(김승연) 3/26-3/29 </v>
      </c>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row>
    <row r="45" spans="1:147" outlineLevel="5">
      <c r="A45" s="116"/>
      <c r="B45" s="116"/>
      <c r="C45" s="116">
        <v>6</v>
      </c>
      <c r="D45" s="3" t="s">
        <v>1131</v>
      </c>
      <c r="E45" s="184"/>
      <c r="F45" s="184"/>
      <c r="G45" s="184"/>
      <c r="H45" s="184"/>
      <c r="I45" s="184"/>
      <c r="J45" s="184" t="s">
        <v>1118</v>
      </c>
      <c r="K45" s="184"/>
      <c r="L45" s="184"/>
      <c r="M45" s="185">
        <v>43558</v>
      </c>
      <c r="N45" s="185">
        <v>43560</v>
      </c>
      <c r="O45" s="186"/>
      <c r="P45" s="187">
        <v>3</v>
      </c>
      <c r="Q45" s="187">
        <v>0</v>
      </c>
      <c r="R45" s="188">
        <v>3</v>
      </c>
      <c r="S45" s="188">
        <v>0</v>
      </c>
      <c r="T45" s="185"/>
      <c r="U45" s="185"/>
      <c r="V45" s="189"/>
      <c r="W45" s="190">
        <v>0</v>
      </c>
      <c r="X45" s="191">
        <v>1</v>
      </c>
      <c r="Y45" s="215" t="s">
        <v>1106</v>
      </c>
      <c r="Z45" s="192"/>
      <c r="AA45" s="97">
        <v>0</v>
      </c>
      <c r="AB45" s="193">
        <v>0</v>
      </c>
      <c r="AC45" s="123"/>
      <c r="AD45" s="4"/>
      <c r="AE45" s="4"/>
      <c r="AF45" s="4"/>
      <c r="AG45" s="4"/>
      <c r="AH45" s="4" t="str">
        <f>"   " &amp; TEXT(AB45,"#0.00%") &amp; " " &amp; "대사집 및 문법집" &amp; "(김소민)" &amp; " " &amp; IF(M45="","",TEXT(M45,"M/D-")) &amp; IF(N45="","",TEXT(N45,"M/D")) &amp; " "</f>
        <v xml:space="preserve">   0.00% 대사집 및 문법집(김소민) 4/3-4/5 </v>
      </c>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row>
    <row r="46" spans="1:147" outlineLevel="5">
      <c r="A46" s="116"/>
      <c r="B46" s="116"/>
      <c r="C46" s="116">
        <v>6</v>
      </c>
      <c r="D46" s="3" t="s">
        <v>1132</v>
      </c>
      <c r="E46" s="184"/>
      <c r="F46" s="184"/>
      <c r="G46" s="184"/>
      <c r="H46" s="184"/>
      <c r="I46" s="184"/>
      <c r="J46" s="214" t="s">
        <v>1110</v>
      </c>
      <c r="K46" s="184"/>
      <c r="L46" s="184"/>
      <c r="M46" s="185">
        <v>43560</v>
      </c>
      <c r="N46" s="185">
        <v>43564</v>
      </c>
      <c r="O46" s="186"/>
      <c r="P46" s="187">
        <v>3</v>
      </c>
      <c r="Q46" s="187">
        <v>0</v>
      </c>
      <c r="R46" s="188">
        <v>3</v>
      </c>
      <c r="S46" s="188">
        <v>0</v>
      </c>
      <c r="T46" s="185"/>
      <c r="U46" s="185"/>
      <c r="V46" s="189"/>
      <c r="W46" s="190">
        <v>0</v>
      </c>
      <c r="X46" s="191">
        <v>1</v>
      </c>
      <c r="Y46" s="215" t="s">
        <v>1106</v>
      </c>
      <c r="Z46" s="192"/>
      <c r="AA46" s="97">
        <v>0</v>
      </c>
      <c r="AB46" s="193">
        <v>0</v>
      </c>
      <c r="AC46" s="123"/>
      <c r="AD46" s="4"/>
      <c r="AE46" s="4"/>
      <c r="AF46" s="4"/>
      <c r="AG46" s="4"/>
      <c r="AH46" s="4" t="str">
        <f>"     " &amp; TEXT(AB46,"#0.00%") &amp; " " &amp; "마이페이지" &amp; "(김소민)" &amp; " " &amp; IF(M46="","",TEXT(M46,"M/D-")) &amp; IF(N46="","",TEXT(N46,"M/D")) &amp; " "</f>
        <v xml:space="preserve">     0.00% 마이페이지(김소민) 4/5-4/9 </v>
      </c>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row>
    <row r="47" spans="1:147" outlineLevel="5">
      <c r="A47" s="116"/>
      <c r="B47" s="116"/>
      <c r="C47" s="116">
        <v>6</v>
      </c>
      <c r="D47" s="3" t="s">
        <v>1133</v>
      </c>
      <c r="E47" s="184"/>
      <c r="F47" s="184"/>
      <c r="G47" s="184"/>
      <c r="H47" s="184"/>
      <c r="I47" s="184"/>
      <c r="J47" s="184" t="s">
        <v>1137</v>
      </c>
      <c r="K47" s="184"/>
      <c r="L47" s="184"/>
      <c r="M47" s="185">
        <v>43560</v>
      </c>
      <c r="N47" s="185">
        <v>43563</v>
      </c>
      <c r="O47" s="186"/>
      <c r="P47" s="187">
        <v>2</v>
      </c>
      <c r="Q47" s="187">
        <v>0</v>
      </c>
      <c r="R47" s="188">
        <v>2</v>
      </c>
      <c r="S47" s="188">
        <v>0</v>
      </c>
      <c r="T47" s="185"/>
      <c r="U47" s="185"/>
      <c r="V47" s="189"/>
      <c r="W47" s="190">
        <v>0</v>
      </c>
      <c r="X47" s="191">
        <v>1</v>
      </c>
      <c r="Y47" s="215" t="s">
        <v>1101</v>
      </c>
      <c r="Z47" s="192"/>
      <c r="AA47" s="97">
        <v>0</v>
      </c>
      <c r="AB47" s="193">
        <v>0</v>
      </c>
      <c r="AC47" s="123"/>
      <c r="AD47" s="4"/>
      <c r="AE47" s="4"/>
      <c r="AF47" s="4"/>
      <c r="AG47" s="4"/>
      <c r="AH47" s="4" t="str">
        <f>"     " &amp; TEXT(AB47,"#0.00%") &amp; " " &amp; "어휘 시험" &amp; "(김소민, 김승연)" &amp; " " &amp; IF(M47="","",TEXT(M47,"M/D-")) &amp; IF(N47="","",TEXT(N47,"M/D")) &amp; " "</f>
        <v xml:space="preserve">     0.00% 어휘 시험(김소민, 김승연) 4/5-4/8 </v>
      </c>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row>
    <row r="48" spans="1:147" outlineLevel="5">
      <c r="A48" s="116"/>
      <c r="B48" s="116"/>
      <c r="C48" s="116">
        <v>6</v>
      </c>
      <c r="D48" s="3" t="s">
        <v>1134</v>
      </c>
      <c r="E48" s="184"/>
      <c r="F48" s="184"/>
      <c r="G48" s="184"/>
      <c r="H48" s="184"/>
      <c r="I48" s="184"/>
      <c r="J48" s="184" t="s">
        <v>1120</v>
      </c>
      <c r="K48" s="184"/>
      <c r="L48" s="184"/>
      <c r="M48" s="185">
        <v>43564</v>
      </c>
      <c r="N48" s="185">
        <v>43565</v>
      </c>
      <c r="O48" s="186"/>
      <c r="P48" s="187">
        <v>2</v>
      </c>
      <c r="Q48" s="187">
        <v>0</v>
      </c>
      <c r="R48" s="188">
        <v>2</v>
      </c>
      <c r="S48" s="188">
        <v>0</v>
      </c>
      <c r="T48" s="185"/>
      <c r="U48" s="185"/>
      <c r="V48" s="189"/>
      <c r="W48" s="190">
        <v>0</v>
      </c>
      <c r="X48" s="191">
        <v>1</v>
      </c>
      <c r="Y48" s="215" t="s">
        <v>1174</v>
      </c>
      <c r="Z48" s="192"/>
      <c r="AA48" s="97">
        <v>0</v>
      </c>
      <c r="AB48" s="193">
        <v>0</v>
      </c>
      <c r="AC48" s="123"/>
      <c r="AD48" s="4"/>
      <c r="AE48" s="4"/>
      <c r="AF48" s="4"/>
      <c r="AG48" s="4"/>
      <c r="AH48" s="4"/>
      <c r="AI48" s="4" t="str">
        <f>"  " &amp; TEXT(AB48,"#0.00%") &amp; " " &amp; "성취도 및 성적" &amp; "(김승연, 김소민)" &amp; " " &amp; IF(M48="","",TEXT(M48,"M/D-")) &amp; IF(N48="","",TEXT(N48,"M/D")) &amp; " "</f>
        <v xml:space="preserve">  0.00% 성취도 및 성적(김승연, 김소민) 4/9-4/10 </v>
      </c>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row>
    <row r="49" spans="1:147" outlineLevel="5">
      <c r="A49" s="116"/>
      <c r="B49" s="116"/>
      <c r="C49" s="116">
        <v>0</v>
      </c>
      <c r="D49" s="207"/>
      <c r="E49" s="184"/>
      <c r="F49" s="184"/>
      <c r="G49" s="184"/>
      <c r="H49" s="184"/>
      <c r="I49" s="184"/>
      <c r="J49" s="184"/>
      <c r="K49" s="184"/>
      <c r="L49" s="184"/>
      <c r="M49" s="185"/>
      <c r="N49" s="185"/>
      <c r="O49" s="186"/>
      <c r="P49" s="187"/>
      <c r="Q49" s="187"/>
      <c r="R49" s="188">
        <v>0</v>
      </c>
      <c r="S49" s="188">
        <v>0</v>
      </c>
      <c r="T49" s="185"/>
      <c r="U49" s="185"/>
      <c r="V49" s="189"/>
      <c r="W49" s="190">
        <v>0</v>
      </c>
      <c r="X49" s="191"/>
      <c r="Y49" s="186"/>
      <c r="Z49" s="192"/>
      <c r="AA49" s="97"/>
      <c r="AB49" s="193"/>
      <c r="AC49" s="123"/>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row>
    <row r="50" spans="1:147" outlineLevel="3">
      <c r="A50" s="116"/>
      <c r="B50" s="116" t="s">
        <v>967</v>
      </c>
      <c r="C50" s="116">
        <v>4</v>
      </c>
      <c r="D50" s="3" t="s">
        <v>965</v>
      </c>
      <c r="E50" s="184"/>
      <c r="F50" s="184"/>
      <c r="G50" s="184"/>
      <c r="H50" s="212" t="s">
        <v>1078</v>
      </c>
      <c r="I50" s="184"/>
      <c r="J50" s="184"/>
      <c r="K50" s="184"/>
      <c r="L50" s="184"/>
      <c r="M50" s="185">
        <v>43535</v>
      </c>
      <c r="N50" s="185">
        <v>43565</v>
      </c>
      <c r="O50" s="186"/>
      <c r="P50" s="187">
        <v>66</v>
      </c>
      <c r="Q50" s="187">
        <v>5</v>
      </c>
      <c r="R50" s="188">
        <v>23</v>
      </c>
      <c r="S50" s="188">
        <v>5</v>
      </c>
      <c r="T50" s="185"/>
      <c r="U50" s="185"/>
      <c r="V50" s="189">
        <v>0</v>
      </c>
      <c r="W50" s="190">
        <v>0</v>
      </c>
      <c r="X50" s="191"/>
      <c r="Y50" s="186"/>
      <c r="Z50" s="192"/>
      <c r="AA50" s="97">
        <v>7.575757575757576E-2</v>
      </c>
      <c r="AB50" s="193">
        <v>0.12121212121212122</v>
      </c>
      <c r="AC50" s="123"/>
      <c r="AD50" s="4"/>
      <c r="AE50" s="4" t="str">
        <f>"     " &amp; TEXT(AB50,"#0.00%") &amp; " "</f>
        <v xml:space="preserve">     12.12% </v>
      </c>
      <c r="AF50" s="4"/>
      <c r="AG50" s="4"/>
      <c r="AH50" s="4"/>
      <c r="AI50" s="4" t="str">
        <f>"    " &amp; "백엔드" &amp; " " &amp; IF(M50="","",TEXT(M50,"M/D-")) &amp; IF(N50="","",TEXT(N50,"M/D")) &amp; " "</f>
        <v xml:space="preserve">    백엔드 3/11-4/10 </v>
      </c>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row>
    <row r="51" spans="1:147" outlineLevel="4">
      <c r="A51" s="116"/>
      <c r="B51" s="116" t="s">
        <v>967</v>
      </c>
      <c r="C51" s="116">
        <v>5</v>
      </c>
      <c r="D51" s="3" t="s">
        <v>1089</v>
      </c>
      <c r="E51" s="184"/>
      <c r="F51" s="184"/>
      <c r="G51" s="184"/>
      <c r="H51" s="212"/>
      <c r="I51" s="214" t="s">
        <v>1135</v>
      </c>
      <c r="J51" s="184"/>
      <c r="K51" s="184"/>
      <c r="L51" s="184"/>
      <c r="M51" s="185">
        <v>43542</v>
      </c>
      <c r="N51" s="185">
        <v>43552</v>
      </c>
      <c r="O51" s="186"/>
      <c r="P51" s="187">
        <v>18</v>
      </c>
      <c r="Q51" s="187">
        <v>0</v>
      </c>
      <c r="R51" s="188">
        <v>9</v>
      </c>
      <c r="S51" s="188">
        <v>0</v>
      </c>
      <c r="T51" s="185"/>
      <c r="U51" s="185"/>
      <c r="V51" s="189">
        <v>0</v>
      </c>
      <c r="W51" s="190">
        <v>0</v>
      </c>
      <c r="X51" s="191"/>
      <c r="Y51" s="186"/>
      <c r="Z51" s="192"/>
      <c r="AA51" s="97">
        <v>0</v>
      </c>
      <c r="AB51" s="193">
        <v>0</v>
      </c>
      <c r="AC51" s="123"/>
      <c r="AD51" s="4"/>
      <c r="AE51" s="4"/>
      <c r="AF51" s="4" t="str">
        <f>" " &amp; TEXT(AB51,"#0.00%") &amp; " " &amp; "기본기능" &amp; " " &amp; IF(M51="","",TEXT(M51,"M/D-")) &amp; IF(N51="","",TEXT(N51,"M/D")) &amp; " "</f>
        <v xml:space="preserve"> 0.00% 기본기능 3/18-3/28 </v>
      </c>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row>
    <row r="52" spans="1:147" outlineLevel="5">
      <c r="A52" s="116"/>
      <c r="B52" s="116"/>
      <c r="C52" s="116">
        <v>6</v>
      </c>
      <c r="D52" s="3" t="s">
        <v>1148</v>
      </c>
      <c r="E52" s="184"/>
      <c r="F52" s="184"/>
      <c r="G52" s="184"/>
      <c r="H52" s="212"/>
      <c r="I52" s="184"/>
      <c r="J52" s="184" t="s">
        <v>1079</v>
      </c>
      <c r="K52" s="184"/>
      <c r="L52" s="184"/>
      <c r="M52" s="185">
        <v>43542</v>
      </c>
      <c r="N52" s="185">
        <v>43544</v>
      </c>
      <c r="O52" s="186"/>
      <c r="P52" s="187">
        <v>3</v>
      </c>
      <c r="Q52" s="187">
        <v>0</v>
      </c>
      <c r="R52" s="188">
        <v>3</v>
      </c>
      <c r="S52" s="188">
        <v>0</v>
      </c>
      <c r="T52" s="185"/>
      <c r="U52" s="185"/>
      <c r="V52" s="189"/>
      <c r="W52" s="190">
        <v>0</v>
      </c>
      <c r="X52" s="191">
        <v>1</v>
      </c>
      <c r="Y52" s="215" t="s">
        <v>1167</v>
      </c>
      <c r="Z52" s="192"/>
      <c r="AA52" s="97">
        <v>0</v>
      </c>
      <c r="AB52" s="193">
        <v>0</v>
      </c>
      <c r="AC52" s="123"/>
      <c r="AD52" s="4"/>
      <c r="AE52" s="4"/>
      <c r="AF52" s="4" t="str">
        <f>" " &amp; TEXT(AB52,"#0.00%") &amp; " " &amp; "DB구현" &amp; "(이수재, 조혜경)" &amp; " " &amp; IF(M52="","",TEXT(M52,"M/D-")) &amp; IF(N52="","",TEXT(N52,"M/D")) &amp; " "</f>
        <v xml:space="preserve"> 0.00% DB구현(이수재, 조혜경) 3/18-3/20 </v>
      </c>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row>
    <row r="53" spans="1:147" outlineLevel="5">
      <c r="A53" s="116"/>
      <c r="B53" s="116"/>
      <c r="C53" s="116">
        <v>6</v>
      </c>
      <c r="D53" s="3" t="s">
        <v>1149</v>
      </c>
      <c r="E53" s="184"/>
      <c r="F53" s="184"/>
      <c r="G53" s="184"/>
      <c r="H53" s="212"/>
      <c r="I53" s="184"/>
      <c r="J53" s="184" t="s">
        <v>1080</v>
      </c>
      <c r="K53" s="184"/>
      <c r="L53" s="184"/>
      <c r="M53" s="185">
        <v>43542</v>
      </c>
      <c r="N53" s="185">
        <v>43544</v>
      </c>
      <c r="O53" s="186"/>
      <c r="P53" s="187">
        <v>3</v>
      </c>
      <c r="Q53" s="187">
        <v>0</v>
      </c>
      <c r="R53" s="188">
        <v>3</v>
      </c>
      <c r="S53" s="188">
        <v>0</v>
      </c>
      <c r="T53" s="185"/>
      <c r="U53" s="185"/>
      <c r="V53" s="189"/>
      <c r="W53" s="190">
        <v>0</v>
      </c>
      <c r="X53" s="191">
        <v>1</v>
      </c>
      <c r="Y53" s="186" t="s">
        <v>1103</v>
      </c>
      <c r="Z53" s="192"/>
      <c r="AA53" s="97">
        <v>0</v>
      </c>
      <c r="AB53" s="193">
        <v>0</v>
      </c>
      <c r="AC53" s="123"/>
      <c r="AD53" s="4"/>
      <c r="AE53" s="4"/>
      <c r="AF53" s="4" t="str">
        <f>" " &amp; TEXT(AB53,"#0.00%") &amp; " " &amp; "API서버 구현" &amp; "(최찬민, 조혜경)" &amp; " " &amp; IF(M53="","",TEXT(M53,"M/D-")) &amp; IF(N53="","",TEXT(N53,"M/D")) &amp; " "</f>
        <v xml:space="preserve"> 0.00% API서버 구현(최찬민, 조혜경) 3/18-3/20 </v>
      </c>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row>
    <row r="54" spans="1:147" outlineLevel="5">
      <c r="A54" s="116"/>
      <c r="B54" s="116"/>
      <c r="C54" s="116">
        <v>6</v>
      </c>
      <c r="D54" s="3" t="s">
        <v>1150</v>
      </c>
      <c r="E54" s="184"/>
      <c r="F54" s="184"/>
      <c r="G54" s="184"/>
      <c r="H54" s="212"/>
      <c r="I54" s="184"/>
      <c r="J54" s="184" t="s">
        <v>1140</v>
      </c>
      <c r="K54" s="184"/>
      <c r="L54" s="184"/>
      <c r="M54" s="185">
        <v>43544</v>
      </c>
      <c r="N54" s="185">
        <v>43545</v>
      </c>
      <c r="O54" s="186"/>
      <c r="P54" s="187">
        <v>2</v>
      </c>
      <c r="Q54" s="187">
        <v>0</v>
      </c>
      <c r="R54" s="188">
        <v>2</v>
      </c>
      <c r="S54" s="188">
        <v>0</v>
      </c>
      <c r="T54" s="185"/>
      <c r="U54" s="185"/>
      <c r="V54" s="189"/>
      <c r="W54" s="190">
        <v>0</v>
      </c>
      <c r="X54" s="191">
        <v>1</v>
      </c>
      <c r="Y54" s="215" t="s">
        <v>1171</v>
      </c>
      <c r="Z54" s="192"/>
      <c r="AA54" s="97">
        <v>0</v>
      </c>
      <c r="AB54" s="193">
        <v>0</v>
      </c>
      <c r="AC54" s="123"/>
      <c r="AD54" s="4"/>
      <c r="AE54" s="4"/>
      <c r="AF54" s="4" t="str">
        <f>"   " &amp; TEXT(AB54,"#0.00%") &amp; " " &amp; "회원가입 및 로그인" &amp; "(조혜경)" &amp; " " &amp; IF(M54="","",TEXT(M54,"M/D-")) &amp; IF(N54="","",TEXT(N54,"M/D")) &amp; " "</f>
        <v xml:space="preserve">   0.00% 회원가입 및 로그인(조혜경) 3/20-3/21 </v>
      </c>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row>
    <row r="55" spans="1:147" outlineLevel="5">
      <c r="A55" s="116"/>
      <c r="B55" s="116"/>
      <c r="C55" s="116">
        <v>6</v>
      </c>
      <c r="D55" s="3" t="s">
        <v>1151</v>
      </c>
      <c r="E55" s="184"/>
      <c r="F55" s="184"/>
      <c r="G55" s="184"/>
      <c r="H55" s="212"/>
      <c r="I55" s="184"/>
      <c r="J55" s="184" t="s">
        <v>1138</v>
      </c>
      <c r="K55" s="184"/>
      <c r="L55" s="184"/>
      <c r="M55" s="185">
        <v>43545</v>
      </c>
      <c r="N55" s="185">
        <v>43549</v>
      </c>
      <c r="O55" s="186"/>
      <c r="P55" s="187">
        <v>3</v>
      </c>
      <c r="Q55" s="187">
        <v>0</v>
      </c>
      <c r="R55" s="188">
        <v>3</v>
      </c>
      <c r="S55" s="188">
        <v>0</v>
      </c>
      <c r="T55" s="185"/>
      <c r="U55" s="185"/>
      <c r="V55" s="189"/>
      <c r="W55" s="190">
        <v>0</v>
      </c>
      <c r="X55" s="191">
        <v>1</v>
      </c>
      <c r="Y55" s="215" t="s">
        <v>1171</v>
      </c>
      <c r="Z55" s="192"/>
      <c r="AA55" s="97">
        <v>0</v>
      </c>
      <c r="AB55" s="193">
        <v>0</v>
      </c>
      <c r="AC55" s="123"/>
      <c r="AD55" s="4"/>
      <c r="AE55" s="4"/>
      <c r="AF55" s="4" t="str">
        <f>"    " &amp; TEXT(AB55,"#0.00%") &amp; " " &amp; "영상 목록 및 검색" &amp; "(조혜경)" &amp; " " &amp; IF(M55="","",TEXT(M55,"M/D-")) &amp; IF(N55="","",TEXT(N55,"M/D")) &amp; " "</f>
        <v xml:space="preserve">    0.00% 영상 목록 및 검색(조혜경) 3/21-3/25 </v>
      </c>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row>
    <row r="56" spans="1:147" outlineLevel="5">
      <c r="A56" s="116"/>
      <c r="B56" s="116"/>
      <c r="C56" s="116">
        <v>6</v>
      </c>
      <c r="D56" s="3" t="s">
        <v>1152</v>
      </c>
      <c r="E56" s="184"/>
      <c r="F56" s="184"/>
      <c r="G56" s="184"/>
      <c r="H56" s="212"/>
      <c r="I56" s="184"/>
      <c r="J56" s="184" t="s">
        <v>1163</v>
      </c>
      <c r="K56" s="184"/>
      <c r="L56" s="184"/>
      <c r="M56" s="185">
        <v>43544</v>
      </c>
      <c r="N56" s="185">
        <v>43552</v>
      </c>
      <c r="O56" s="186"/>
      <c r="P56" s="187">
        <v>7</v>
      </c>
      <c r="Q56" s="187">
        <v>0</v>
      </c>
      <c r="R56" s="188">
        <v>7</v>
      </c>
      <c r="S56" s="188">
        <v>0</v>
      </c>
      <c r="T56" s="185"/>
      <c r="U56" s="185"/>
      <c r="V56" s="189"/>
      <c r="W56" s="190">
        <v>0</v>
      </c>
      <c r="X56" s="191">
        <v>1</v>
      </c>
      <c r="Y56" s="186" t="s">
        <v>1173</v>
      </c>
      <c r="Z56" s="192"/>
      <c r="AA56" s="97">
        <v>0</v>
      </c>
      <c r="AB56" s="193">
        <v>0</v>
      </c>
      <c r="AC56" s="123"/>
      <c r="AD56" s="4"/>
      <c r="AE56" s="4"/>
      <c r="AF56" s="4" t="str">
        <f>"   " &amp; TEXT(AB56,"#0.00%") &amp; " " &amp; "히스토리 및 구독 서비스" &amp; "(최찬민, 이수재)" &amp; " " &amp; IF(M56="","",TEXT(M56,"M/D-")) &amp; IF(N56="","",TEXT(N56,"M/D")) &amp; " "</f>
        <v xml:space="preserve">   0.00% 히스토리 및 구독 서비스(최찬민, 이수재) 3/20-3/28 </v>
      </c>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row>
    <row r="57" spans="1:147" outlineLevel="5">
      <c r="A57" s="116"/>
      <c r="B57" s="116"/>
      <c r="C57" s="116">
        <v>0</v>
      </c>
      <c r="D57" s="207"/>
      <c r="E57" s="184"/>
      <c r="F57" s="184"/>
      <c r="G57" s="184"/>
      <c r="H57" s="184"/>
      <c r="I57" s="184"/>
      <c r="J57" s="184"/>
      <c r="K57" s="184"/>
      <c r="L57" s="184"/>
      <c r="M57" s="185"/>
      <c r="N57" s="185"/>
      <c r="O57" s="186"/>
      <c r="P57" s="187"/>
      <c r="Q57" s="187"/>
      <c r="R57" s="188">
        <v>0</v>
      </c>
      <c r="S57" s="188">
        <v>0</v>
      </c>
      <c r="T57" s="185"/>
      <c r="U57" s="185"/>
      <c r="V57" s="189"/>
      <c r="W57" s="190">
        <v>0</v>
      </c>
      <c r="X57" s="191"/>
      <c r="Y57" s="186"/>
      <c r="Z57" s="192"/>
      <c r="AA57" s="97"/>
      <c r="AB57" s="193"/>
      <c r="AC57" s="123"/>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row>
    <row r="58" spans="1:147" outlineLevel="4">
      <c r="A58" s="116"/>
      <c r="B58" s="116" t="s">
        <v>967</v>
      </c>
      <c r="C58" s="116">
        <v>5</v>
      </c>
      <c r="D58" s="3" t="s">
        <v>1090</v>
      </c>
      <c r="E58" s="184"/>
      <c r="F58" s="184"/>
      <c r="G58" s="184"/>
      <c r="H58" s="184"/>
      <c r="I58" s="184" t="s">
        <v>1112</v>
      </c>
      <c r="J58" s="184"/>
      <c r="K58" s="184"/>
      <c r="L58" s="184"/>
      <c r="M58" s="185">
        <v>43535</v>
      </c>
      <c r="N58" s="185">
        <v>43560</v>
      </c>
      <c r="O58" s="186"/>
      <c r="P58" s="187">
        <v>34</v>
      </c>
      <c r="Q58" s="187">
        <v>5</v>
      </c>
      <c r="R58" s="188">
        <v>20</v>
      </c>
      <c r="S58" s="188">
        <v>5</v>
      </c>
      <c r="T58" s="185"/>
      <c r="U58" s="185"/>
      <c r="V58" s="189">
        <v>0</v>
      </c>
      <c r="W58" s="190">
        <v>0</v>
      </c>
      <c r="X58" s="191"/>
      <c r="Y58" s="186"/>
      <c r="Z58" s="192"/>
      <c r="AA58" s="97">
        <v>0.14705882352941177</v>
      </c>
      <c r="AB58" s="193">
        <v>0.23529411764705882</v>
      </c>
      <c r="AC58" s="123"/>
      <c r="AD58" s="4"/>
      <c r="AE58" s="4"/>
      <c r="AF58" s="4" t="str">
        <f>"" &amp; TEXT(AB58,"#0.00%") &amp; " " &amp; "영상 관련 기능" &amp; " " &amp; IF(M58="","",TEXT(M58,"M/D-")) &amp; IF(N58="","",TEXT(N58,"M/D")) &amp; " "</f>
        <v xml:space="preserve">23.53% 영상 관련 기능 3/11-4/5 </v>
      </c>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row>
    <row r="59" spans="1:147" outlineLevel="5">
      <c r="A59" s="116"/>
      <c r="B59" s="116"/>
      <c r="C59" s="116">
        <v>6</v>
      </c>
      <c r="D59" s="3" t="s">
        <v>1153</v>
      </c>
      <c r="E59" s="184"/>
      <c r="F59" s="184"/>
      <c r="G59" s="184"/>
      <c r="H59" s="212"/>
      <c r="I59" s="184"/>
      <c r="J59" s="184" t="s">
        <v>1141</v>
      </c>
      <c r="K59" s="184"/>
      <c r="L59" s="184"/>
      <c r="M59" s="185">
        <v>43542</v>
      </c>
      <c r="N59" s="185">
        <v>43544</v>
      </c>
      <c r="O59" s="186"/>
      <c r="P59" s="187">
        <v>3</v>
      </c>
      <c r="Q59" s="187">
        <v>0</v>
      </c>
      <c r="R59" s="188">
        <v>3</v>
      </c>
      <c r="S59" s="188">
        <v>0</v>
      </c>
      <c r="T59" s="185"/>
      <c r="U59" s="185"/>
      <c r="V59" s="189"/>
      <c r="W59" s="190">
        <v>0</v>
      </c>
      <c r="X59" s="191">
        <v>1</v>
      </c>
      <c r="Y59" s="186" t="s">
        <v>1173</v>
      </c>
      <c r="Z59" s="192"/>
      <c r="AA59" s="97">
        <v>0</v>
      </c>
      <c r="AB59" s="193">
        <v>0</v>
      </c>
      <c r="AC59" s="123"/>
      <c r="AD59" s="4"/>
      <c r="AE59" s="4"/>
      <c r="AF59" s="4" t="str">
        <f>" " &amp; TEXT(AB59,"#0.00%") &amp; " " &amp; "업로드 및 스트리밍" &amp; "(최찬민, 이수재)" &amp; " " &amp; IF(M59="","",TEXT(M59,"M/D-")) &amp; IF(N59="","",TEXT(N59,"M/D")) &amp; " "</f>
        <v xml:space="preserve"> 0.00% 업로드 및 스트리밍(최찬민, 이수재) 3/18-3/20 </v>
      </c>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row>
    <row r="60" spans="1:147" outlineLevel="5">
      <c r="A60" s="116"/>
      <c r="B60" s="116"/>
      <c r="C60" s="116">
        <v>6</v>
      </c>
      <c r="D60" s="3" t="s">
        <v>1154</v>
      </c>
      <c r="E60" s="184"/>
      <c r="F60" s="184"/>
      <c r="G60" s="184"/>
      <c r="H60" s="212"/>
      <c r="I60" s="184"/>
      <c r="J60" s="184" t="s">
        <v>1142</v>
      </c>
      <c r="K60" s="184"/>
      <c r="L60" s="184"/>
      <c r="M60" s="185">
        <v>43544</v>
      </c>
      <c r="N60" s="185">
        <v>43546</v>
      </c>
      <c r="O60" s="186"/>
      <c r="P60" s="187">
        <v>3</v>
      </c>
      <c r="Q60" s="187">
        <v>0</v>
      </c>
      <c r="R60" s="188">
        <v>3</v>
      </c>
      <c r="S60" s="188">
        <v>0</v>
      </c>
      <c r="T60" s="185"/>
      <c r="U60" s="185"/>
      <c r="V60" s="189"/>
      <c r="W60" s="190">
        <v>0</v>
      </c>
      <c r="X60" s="191">
        <v>1</v>
      </c>
      <c r="Y60" s="186" t="s">
        <v>1173</v>
      </c>
      <c r="Z60" s="192"/>
      <c r="AA60" s="97">
        <v>0</v>
      </c>
      <c r="AB60" s="193">
        <v>0</v>
      </c>
      <c r="AC60" s="123"/>
      <c r="AD60" s="4"/>
      <c r="AE60" s="4"/>
      <c r="AF60" s="4" t="str">
        <f>"   " &amp; TEXT(AB60,"#0.00%") &amp; " " &amp; "영상 편집 기능" &amp; "(최찬민, 이수재)" &amp; " " &amp; IF(M60="","",TEXT(M60,"M/D-")) &amp; IF(N60="","",TEXT(N60,"M/D")) &amp; " "</f>
        <v xml:space="preserve">   0.00% 영상 편집 기능(최찬민, 이수재) 3/20-3/22 </v>
      </c>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row>
    <row r="61" spans="1:147" outlineLevel="5">
      <c r="A61" s="116"/>
      <c r="B61" s="116"/>
      <c r="C61" s="116">
        <v>6</v>
      </c>
      <c r="D61" s="3" t="s">
        <v>1155</v>
      </c>
      <c r="E61" s="184"/>
      <c r="F61" s="184"/>
      <c r="G61" s="184"/>
      <c r="H61" s="212"/>
      <c r="I61" s="184"/>
      <c r="J61" s="184" t="s">
        <v>1143</v>
      </c>
      <c r="K61" s="184"/>
      <c r="L61" s="184"/>
      <c r="M61" s="185">
        <v>43546</v>
      </c>
      <c r="N61" s="185">
        <v>43552</v>
      </c>
      <c r="O61" s="186"/>
      <c r="P61" s="187">
        <v>5</v>
      </c>
      <c r="Q61" s="187">
        <v>0</v>
      </c>
      <c r="R61" s="188">
        <v>5</v>
      </c>
      <c r="S61" s="188">
        <v>0</v>
      </c>
      <c r="T61" s="185"/>
      <c r="U61" s="185"/>
      <c r="V61" s="189"/>
      <c r="W61" s="190">
        <v>0</v>
      </c>
      <c r="X61" s="191">
        <v>1</v>
      </c>
      <c r="Y61" s="215" t="s">
        <v>1172</v>
      </c>
      <c r="Z61" s="192"/>
      <c r="AA61" s="97">
        <v>0</v>
      </c>
      <c r="AB61" s="193">
        <v>0</v>
      </c>
      <c r="AC61" s="123"/>
      <c r="AD61" s="4"/>
      <c r="AE61" s="4"/>
      <c r="AF61" s="4" t="str">
        <f>"     " &amp; TEXT(AB61,"#0.00%") &amp; " " &amp; "참여형 서비스" &amp; "(최찬민)" &amp; " " &amp; IF(M61="","",TEXT(M61,"M/D-")) &amp; IF(N61="","",TEXT(N61,"M/D")) &amp; " "</f>
        <v xml:space="preserve">     0.00% 참여형 서비스(최찬민) 3/22-3/28 </v>
      </c>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row>
    <row r="62" spans="1:147" outlineLevel="5">
      <c r="A62" s="116"/>
      <c r="B62" s="116"/>
      <c r="C62" s="116">
        <v>6</v>
      </c>
      <c r="D62" s="3" t="s">
        <v>1156</v>
      </c>
      <c r="E62" s="184"/>
      <c r="F62" s="184"/>
      <c r="G62" s="184"/>
      <c r="H62" s="212"/>
      <c r="I62" s="184"/>
      <c r="J62" s="184" t="s">
        <v>1144</v>
      </c>
      <c r="K62" s="184"/>
      <c r="L62" s="184"/>
      <c r="M62" s="185">
        <v>43552</v>
      </c>
      <c r="N62" s="185">
        <v>43556</v>
      </c>
      <c r="O62" s="186"/>
      <c r="P62" s="187">
        <v>3</v>
      </c>
      <c r="Q62" s="187">
        <v>0</v>
      </c>
      <c r="R62" s="188">
        <v>3</v>
      </c>
      <c r="S62" s="188">
        <v>0</v>
      </c>
      <c r="T62" s="185"/>
      <c r="U62" s="185"/>
      <c r="V62" s="189"/>
      <c r="W62" s="190">
        <v>0</v>
      </c>
      <c r="X62" s="191">
        <v>1</v>
      </c>
      <c r="Y62" s="215" t="s">
        <v>1171</v>
      </c>
      <c r="Z62" s="192"/>
      <c r="AA62" s="97">
        <v>0</v>
      </c>
      <c r="AB62" s="193">
        <v>0</v>
      </c>
      <c r="AC62" s="123"/>
      <c r="AD62" s="4"/>
      <c r="AE62" s="4"/>
      <c r="AF62" s="4"/>
      <c r="AG62" s="4" t="str">
        <f>"    " &amp; TEXT(AB62,"#0.00%") &amp; " " &amp; "북마크 - 부가 서비스 연동" &amp; "(조혜경)" &amp; " " &amp; IF(M62="","",TEXT(M62,"M/D-")) &amp; IF(N62="","",TEXT(N62,"M/D")) &amp; " "</f>
        <v xml:space="preserve">    0.00% 북마크 - 부가 서비스 연동(조혜경) 3/28-4/1 </v>
      </c>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row>
    <row r="63" spans="1:147" outlineLevel="5">
      <c r="A63" s="116"/>
      <c r="B63" s="116"/>
      <c r="C63" s="116">
        <v>6</v>
      </c>
      <c r="D63" s="3" t="s">
        <v>1157</v>
      </c>
      <c r="E63" s="184"/>
      <c r="F63" s="184"/>
      <c r="G63" s="184"/>
      <c r="H63" s="212"/>
      <c r="I63" s="184"/>
      <c r="J63" s="184" t="s">
        <v>1164</v>
      </c>
      <c r="K63" s="184"/>
      <c r="L63" s="184"/>
      <c r="M63" s="185">
        <v>43535</v>
      </c>
      <c r="N63" s="185">
        <v>43560</v>
      </c>
      <c r="O63" s="186"/>
      <c r="P63" s="187">
        <v>20</v>
      </c>
      <c r="Q63" s="187">
        <v>5</v>
      </c>
      <c r="R63" s="188">
        <v>20</v>
      </c>
      <c r="S63" s="188">
        <v>5</v>
      </c>
      <c r="T63" s="185"/>
      <c r="U63" s="185"/>
      <c r="V63" s="189"/>
      <c r="W63" s="190">
        <v>0</v>
      </c>
      <c r="X63" s="191">
        <v>1</v>
      </c>
      <c r="Y63" s="215" t="s">
        <v>1100</v>
      </c>
      <c r="Z63" s="192"/>
      <c r="AA63" s="97">
        <v>0.25</v>
      </c>
      <c r="AB63" s="193">
        <v>0.4</v>
      </c>
      <c r="AC63" s="123"/>
      <c r="AD63" s="4"/>
      <c r="AE63" s="4"/>
      <c r="AF63" s="4" t="str">
        <f>"    " &amp; TEXT(AB63,"#0.00%") &amp; " " &amp; "음성 분석 및 대조" &amp; "(이수재)" &amp; " " &amp; IF(M63="","",TEXT(M63,"M/D-")) &amp; IF(N63="","",TEXT(N63,"M/D")) &amp; " "</f>
        <v xml:space="preserve">    40.00% 음성 분석 및 대조(이수재) 3/11-4/5 </v>
      </c>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row>
    <row r="64" spans="1:147" outlineLevel="5">
      <c r="A64" s="116"/>
      <c r="B64" s="116"/>
      <c r="C64" s="116">
        <v>0</v>
      </c>
      <c r="D64" s="207"/>
      <c r="E64" s="184"/>
      <c r="F64" s="184"/>
      <c r="G64" s="184"/>
      <c r="H64" s="184"/>
      <c r="I64" s="184"/>
      <c r="J64" s="184"/>
      <c r="K64" s="184"/>
      <c r="L64" s="184"/>
      <c r="M64" s="185"/>
      <c r="N64" s="185"/>
      <c r="O64" s="186"/>
      <c r="P64" s="187"/>
      <c r="Q64" s="187"/>
      <c r="R64" s="188">
        <v>0</v>
      </c>
      <c r="S64" s="188">
        <v>0</v>
      </c>
      <c r="T64" s="185"/>
      <c r="U64" s="185"/>
      <c r="V64" s="189"/>
      <c r="W64" s="190">
        <v>0</v>
      </c>
      <c r="X64" s="191"/>
      <c r="Y64" s="186"/>
      <c r="Z64" s="192"/>
      <c r="AA64" s="97"/>
      <c r="AB64" s="193"/>
      <c r="AC64" s="123"/>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row>
    <row r="65" spans="1:147" outlineLevel="4">
      <c r="A65" s="116"/>
      <c r="B65" s="116" t="s">
        <v>967</v>
      </c>
      <c r="C65" s="116">
        <v>5</v>
      </c>
      <c r="D65" s="3" t="s">
        <v>1091</v>
      </c>
      <c r="E65" s="184"/>
      <c r="F65" s="184"/>
      <c r="G65" s="184"/>
      <c r="H65" s="184"/>
      <c r="I65" s="184" t="s">
        <v>1117</v>
      </c>
      <c r="J65" s="184"/>
      <c r="K65" s="184"/>
      <c r="L65" s="184"/>
      <c r="M65" s="185">
        <v>43550</v>
      </c>
      <c r="N65" s="185">
        <v>43565</v>
      </c>
      <c r="O65" s="186"/>
      <c r="P65" s="187">
        <v>14</v>
      </c>
      <c r="Q65" s="187">
        <v>0</v>
      </c>
      <c r="R65" s="188">
        <v>12</v>
      </c>
      <c r="S65" s="188">
        <v>0</v>
      </c>
      <c r="T65" s="185"/>
      <c r="U65" s="185"/>
      <c r="V65" s="189">
        <v>0</v>
      </c>
      <c r="W65" s="190">
        <v>0</v>
      </c>
      <c r="X65" s="191"/>
      <c r="Y65" s="186"/>
      <c r="Z65" s="192"/>
      <c r="AA65" s="97">
        <v>0</v>
      </c>
      <c r="AB65" s="193">
        <v>0</v>
      </c>
      <c r="AC65" s="123"/>
      <c r="AD65" s="4"/>
      <c r="AE65" s="4"/>
      <c r="AF65" s="4"/>
      <c r="AG65" s="4" t="str">
        <f>"  " &amp; TEXT(AB65,"#0.00%") &amp; " " &amp; "어학 관련 기능" &amp; " " &amp; IF(M65="","",TEXT(M65,"M/D-")) &amp; IF(N65="","",TEXT(N65,"M/D")) &amp; " "</f>
        <v xml:space="preserve">  0.00% 어학 관련 기능 3/26-4/10 </v>
      </c>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row>
    <row r="66" spans="1:147" outlineLevel="5">
      <c r="A66" s="116"/>
      <c r="B66" s="116"/>
      <c r="C66" s="116">
        <v>6</v>
      </c>
      <c r="D66" s="3" t="s">
        <v>1158</v>
      </c>
      <c r="E66" s="184"/>
      <c r="F66" s="184"/>
      <c r="G66" s="184"/>
      <c r="H66" s="212"/>
      <c r="I66" s="184"/>
      <c r="J66" s="214" t="s">
        <v>1136</v>
      </c>
      <c r="K66" s="184"/>
      <c r="L66" s="184"/>
      <c r="M66" s="185">
        <v>43556</v>
      </c>
      <c r="N66" s="185">
        <v>43558</v>
      </c>
      <c r="O66" s="186"/>
      <c r="P66" s="187">
        <v>3</v>
      </c>
      <c r="Q66" s="187">
        <v>0</v>
      </c>
      <c r="R66" s="188">
        <v>3</v>
      </c>
      <c r="S66" s="188">
        <v>0</v>
      </c>
      <c r="T66" s="185"/>
      <c r="U66" s="185"/>
      <c r="V66" s="189"/>
      <c r="W66" s="190">
        <v>0</v>
      </c>
      <c r="X66" s="191">
        <v>1</v>
      </c>
      <c r="Y66" s="215" t="s">
        <v>1171</v>
      </c>
      <c r="Z66" s="192"/>
      <c r="AA66" s="97">
        <v>0</v>
      </c>
      <c r="AB66" s="193">
        <v>0</v>
      </c>
      <c r="AC66" s="123"/>
      <c r="AD66" s="4"/>
      <c r="AE66" s="4"/>
      <c r="AF66" s="4"/>
      <c r="AG66" s="4"/>
      <c r="AH66" s="4" t="str">
        <f>" " &amp; TEXT(AB66,"#0.00%") &amp; " " &amp; "단어장 관리" &amp; "(조혜경)" &amp; " " &amp; IF(M66="","",TEXT(M66,"M/D-")) &amp; IF(N66="","",TEXT(N66,"M/D")) &amp; " "</f>
        <v xml:space="preserve"> 0.00% 단어장 관리(조혜경) 4/1-4/3 </v>
      </c>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row>
    <row r="67" spans="1:147" outlineLevel="5">
      <c r="A67" s="116"/>
      <c r="B67" s="116"/>
      <c r="C67" s="116">
        <v>6</v>
      </c>
      <c r="D67" s="3" t="s">
        <v>1159</v>
      </c>
      <c r="E67" s="184"/>
      <c r="F67" s="184"/>
      <c r="G67" s="184"/>
      <c r="H67" s="212"/>
      <c r="I67" s="184"/>
      <c r="J67" s="184" t="s">
        <v>1119</v>
      </c>
      <c r="K67" s="184"/>
      <c r="L67" s="184"/>
      <c r="M67" s="185">
        <v>43550</v>
      </c>
      <c r="N67" s="185">
        <v>43553</v>
      </c>
      <c r="O67" s="186"/>
      <c r="P67" s="187">
        <v>4</v>
      </c>
      <c r="Q67" s="187">
        <v>0</v>
      </c>
      <c r="R67" s="188">
        <v>4</v>
      </c>
      <c r="S67" s="188">
        <v>0</v>
      </c>
      <c r="T67" s="185"/>
      <c r="U67" s="185"/>
      <c r="V67" s="189"/>
      <c r="W67" s="190">
        <v>0</v>
      </c>
      <c r="X67" s="191">
        <v>1</v>
      </c>
      <c r="Y67" s="215" t="s">
        <v>1172</v>
      </c>
      <c r="Z67" s="192"/>
      <c r="AA67" s="97">
        <v>0</v>
      </c>
      <c r="AB67" s="193">
        <v>0</v>
      </c>
      <c r="AC67" s="123"/>
      <c r="AD67" s="4"/>
      <c r="AE67" s="4"/>
      <c r="AF67" s="4"/>
      <c r="AG67" s="4" t="str">
        <f>"  " &amp; TEXT(AB67,"#0.00%") &amp; " " &amp; "공동 문법 기능" &amp; "(최찬민)" &amp; " " &amp; IF(M67="","",TEXT(M67,"M/D-")) &amp; IF(N67="","",TEXT(N67,"M/D")) &amp; " "</f>
        <v xml:space="preserve">  0.00% 공동 문법 기능(최찬민) 3/26-3/29 </v>
      </c>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row>
    <row r="68" spans="1:147" outlineLevel="5">
      <c r="A68" s="116"/>
      <c r="B68" s="116"/>
      <c r="C68" s="116">
        <v>6</v>
      </c>
      <c r="D68" s="3" t="s">
        <v>1160</v>
      </c>
      <c r="E68" s="184"/>
      <c r="F68" s="184"/>
      <c r="G68" s="184"/>
      <c r="H68" s="212"/>
      <c r="I68" s="184"/>
      <c r="J68" s="184" t="s">
        <v>1118</v>
      </c>
      <c r="K68" s="184"/>
      <c r="L68" s="184"/>
      <c r="M68" s="185">
        <v>43558</v>
      </c>
      <c r="N68" s="185">
        <v>43560</v>
      </c>
      <c r="O68" s="186"/>
      <c r="P68" s="187">
        <v>3</v>
      </c>
      <c r="Q68" s="187">
        <v>0</v>
      </c>
      <c r="R68" s="188">
        <v>3</v>
      </c>
      <c r="S68" s="188">
        <v>0</v>
      </c>
      <c r="T68" s="185"/>
      <c r="U68" s="185"/>
      <c r="V68" s="189"/>
      <c r="W68" s="190">
        <v>0</v>
      </c>
      <c r="X68" s="191">
        <v>1</v>
      </c>
      <c r="Y68" s="215" t="s">
        <v>1171</v>
      </c>
      <c r="Z68" s="192"/>
      <c r="AA68" s="97">
        <v>0</v>
      </c>
      <c r="AB68" s="193">
        <v>0</v>
      </c>
      <c r="AC68" s="123"/>
      <c r="AD68" s="4"/>
      <c r="AE68" s="4"/>
      <c r="AF68" s="4"/>
      <c r="AG68" s="4"/>
      <c r="AH68" s="4" t="str">
        <f>"   " &amp; TEXT(AB68,"#0.00%") &amp; " " &amp; "대사집 및 문법집" &amp; "(조혜경)" &amp; " " &amp; IF(M68="","",TEXT(M68,"M/D-")) &amp; IF(N68="","",TEXT(N68,"M/D")) &amp; " "</f>
        <v xml:space="preserve">   0.00% 대사집 및 문법집(조혜경) 4/3-4/5 </v>
      </c>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row>
    <row r="69" spans="1:147" outlineLevel="5">
      <c r="A69" s="116"/>
      <c r="B69" s="116"/>
      <c r="C69" s="116">
        <v>6</v>
      </c>
      <c r="D69" s="3" t="s">
        <v>1161</v>
      </c>
      <c r="E69" s="184"/>
      <c r="F69" s="184"/>
      <c r="G69" s="184"/>
      <c r="H69" s="212"/>
      <c r="I69" s="184"/>
      <c r="J69" s="214" t="s">
        <v>1137</v>
      </c>
      <c r="K69" s="184"/>
      <c r="L69" s="184"/>
      <c r="M69" s="185">
        <v>43560</v>
      </c>
      <c r="N69" s="185">
        <v>43563</v>
      </c>
      <c r="O69" s="186"/>
      <c r="P69" s="187">
        <v>2</v>
      </c>
      <c r="Q69" s="187">
        <v>0</v>
      </c>
      <c r="R69" s="188">
        <v>2</v>
      </c>
      <c r="S69" s="188">
        <v>0</v>
      </c>
      <c r="T69" s="185"/>
      <c r="U69" s="185"/>
      <c r="V69" s="189"/>
      <c r="W69" s="190">
        <v>0</v>
      </c>
      <c r="X69" s="191">
        <v>1</v>
      </c>
      <c r="Y69" s="215" t="s">
        <v>1171</v>
      </c>
      <c r="Z69" s="192"/>
      <c r="AA69" s="97">
        <v>0</v>
      </c>
      <c r="AB69" s="193">
        <v>0</v>
      </c>
      <c r="AC69" s="123"/>
      <c r="AD69" s="4"/>
      <c r="AE69" s="4"/>
      <c r="AF69" s="4"/>
      <c r="AG69" s="4"/>
      <c r="AH69" s="4" t="str">
        <f>"     " &amp; TEXT(AB69,"#0.00%") &amp; " " &amp; "어휘 시험" &amp; "(조혜경)" &amp; " " &amp; IF(M69="","",TEXT(M69,"M/D-")) &amp; IF(N69="","",TEXT(N69,"M/D")) &amp; " "</f>
        <v xml:space="preserve">     0.00% 어휘 시험(조혜경) 4/5-4/8 </v>
      </c>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row>
    <row r="70" spans="1:147" outlineLevel="5">
      <c r="A70" s="116"/>
      <c r="B70" s="116"/>
      <c r="C70" s="116">
        <v>6</v>
      </c>
      <c r="D70" s="3" t="s">
        <v>1175</v>
      </c>
      <c r="E70" s="184"/>
      <c r="F70" s="184"/>
      <c r="G70" s="184"/>
      <c r="H70" s="212"/>
      <c r="I70" s="184"/>
      <c r="J70" s="214" t="s">
        <v>1120</v>
      </c>
      <c r="K70" s="184"/>
      <c r="L70" s="184"/>
      <c r="M70" s="185">
        <v>43564</v>
      </c>
      <c r="N70" s="185">
        <v>43565</v>
      </c>
      <c r="O70" s="186"/>
      <c r="P70" s="187">
        <v>2</v>
      </c>
      <c r="Q70" s="187">
        <v>0</v>
      </c>
      <c r="R70" s="188">
        <v>2</v>
      </c>
      <c r="S70" s="188">
        <v>0</v>
      </c>
      <c r="T70" s="185"/>
      <c r="U70" s="185"/>
      <c r="V70" s="189"/>
      <c r="W70" s="190">
        <v>0</v>
      </c>
      <c r="X70" s="191">
        <v>1</v>
      </c>
      <c r="Y70" s="215" t="s">
        <v>1183</v>
      </c>
      <c r="Z70" s="192"/>
      <c r="AA70" s="97">
        <v>0</v>
      </c>
      <c r="AB70" s="193">
        <v>0</v>
      </c>
      <c r="AC70" s="123"/>
      <c r="AD70" s="4"/>
      <c r="AE70" s="4"/>
      <c r="AF70" s="4"/>
      <c r="AG70" s="4"/>
      <c r="AH70" s="4"/>
      <c r="AI70" s="4" t="str">
        <f>"  " &amp; TEXT(AB70,"#0.00%") &amp; " " &amp; "성취도 및 성적" &amp; "(조혜경, 최찬민)" &amp; " " &amp; IF(M70="","",TEXT(M70,"M/D-")) &amp; IF(N70="","",TEXT(N70,"M/D")) &amp; " "</f>
        <v xml:space="preserve">  0.00% 성취도 및 성적(조혜경, 최찬민) 4/9-4/10 </v>
      </c>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row>
    <row r="71" spans="1:147" outlineLevel="5">
      <c r="A71" s="116"/>
      <c r="B71" s="116"/>
      <c r="C71" s="116">
        <v>0</v>
      </c>
      <c r="D71" s="3"/>
      <c r="E71" s="184"/>
      <c r="F71" s="184"/>
      <c r="G71" s="184"/>
      <c r="H71" s="212"/>
      <c r="I71" s="184"/>
      <c r="J71" s="184"/>
      <c r="K71" s="184"/>
      <c r="L71" s="184"/>
      <c r="M71" s="185"/>
      <c r="N71" s="185"/>
      <c r="O71" s="186"/>
      <c r="P71" s="187"/>
      <c r="Q71" s="187"/>
      <c r="R71" s="188">
        <v>0</v>
      </c>
      <c r="S71" s="188">
        <v>0</v>
      </c>
      <c r="T71" s="185"/>
      <c r="U71" s="185"/>
      <c r="V71" s="189"/>
      <c r="W71" s="190">
        <v>0</v>
      </c>
      <c r="X71" s="191"/>
      <c r="Y71" s="186"/>
      <c r="Z71" s="192"/>
      <c r="AA71" s="97"/>
      <c r="AB71" s="193"/>
      <c r="AC71" s="123"/>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row>
    <row r="72" spans="1:147" outlineLevel="2">
      <c r="A72" s="116"/>
      <c r="B72" s="116" t="s">
        <v>967</v>
      </c>
      <c r="C72" s="116">
        <v>3</v>
      </c>
      <c r="D72" s="3" t="s">
        <v>1092</v>
      </c>
      <c r="E72" s="184"/>
      <c r="F72" s="184"/>
      <c r="G72" s="184" t="s">
        <v>1081</v>
      </c>
      <c r="H72" s="212"/>
      <c r="I72" s="184"/>
      <c r="J72" s="184"/>
      <c r="K72" s="184"/>
      <c r="L72" s="184"/>
      <c r="M72" s="185">
        <v>43552</v>
      </c>
      <c r="N72" s="185">
        <v>43623</v>
      </c>
      <c r="O72" s="186"/>
      <c r="P72" s="187">
        <v>31</v>
      </c>
      <c r="Q72" s="187">
        <v>0</v>
      </c>
      <c r="R72" s="188">
        <v>50</v>
      </c>
      <c r="S72" s="188">
        <v>0</v>
      </c>
      <c r="T72" s="185"/>
      <c r="U72" s="185"/>
      <c r="V72" s="189">
        <v>0</v>
      </c>
      <c r="W72" s="190">
        <v>0</v>
      </c>
      <c r="X72" s="191"/>
      <c r="Y72" s="186"/>
      <c r="Z72" s="192"/>
      <c r="AA72" s="97">
        <v>0</v>
      </c>
      <c r="AB72" s="193">
        <v>0</v>
      </c>
      <c r="AC72" s="123"/>
      <c r="AD72" s="4"/>
      <c r="AE72" s="4"/>
      <c r="AF72" s="4"/>
      <c r="AG72" s="4" t="str">
        <f>"    " &amp; TEXT(AB72,"#0.00%") &amp; " "</f>
        <v xml:space="preserve">    0.00% </v>
      </c>
      <c r="AH72" s="4"/>
      <c r="AI72" s="4"/>
      <c r="AJ72" s="4"/>
      <c r="AK72" s="4"/>
      <c r="AL72" s="4"/>
      <c r="AM72" s="4"/>
      <c r="AN72" s="4"/>
      <c r="AO72" s="4"/>
      <c r="AP72" s="4"/>
      <c r="AQ72" s="4" t="str">
        <f>"      " &amp; "테스트 및 안정화" &amp; " " &amp; IF(M72="","",TEXT(M72,"M/D-")) &amp; IF(N72="","",TEXT(N72,"M/D")) &amp; " "</f>
        <v xml:space="preserve">      테스트 및 안정화 3/28-6/7 </v>
      </c>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row>
    <row r="73" spans="1:147" outlineLevel="3">
      <c r="A73" s="116"/>
      <c r="B73" s="116"/>
      <c r="C73" s="116">
        <v>4</v>
      </c>
      <c r="D73" s="3" t="s">
        <v>1093</v>
      </c>
      <c r="E73" s="184"/>
      <c r="F73" s="184"/>
      <c r="G73" s="184"/>
      <c r="H73" s="213" t="s">
        <v>1162</v>
      </c>
      <c r="I73" s="184"/>
      <c r="J73" s="184"/>
      <c r="K73" s="184"/>
      <c r="L73" s="184"/>
      <c r="M73" s="185">
        <v>43552</v>
      </c>
      <c r="N73" s="185">
        <v>43557</v>
      </c>
      <c r="O73" s="186"/>
      <c r="P73" s="187">
        <v>4</v>
      </c>
      <c r="Q73" s="187">
        <v>0</v>
      </c>
      <c r="R73" s="188">
        <v>4</v>
      </c>
      <c r="S73" s="188">
        <v>0</v>
      </c>
      <c r="T73" s="185"/>
      <c r="U73" s="185"/>
      <c r="V73" s="189"/>
      <c r="W73" s="190">
        <v>0</v>
      </c>
      <c r="X73" s="191">
        <v>1</v>
      </c>
      <c r="Y73" s="186" t="s">
        <v>1166</v>
      </c>
      <c r="Z73" s="192"/>
      <c r="AA73" s="97">
        <v>0</v>
      </c>
      <c r="AB73" s="193">
        <v>0</v>
      </c>
      <c r="AC73" s="123"/>
      <c r="AD73" s="4"/>
      <c r="AE73" s="4"/>
      <c r="AF73" s="4"/>
      <c r="AG73" s="4" t="str">
        <f>"    " &amp; TEXT(AB73,"#0.00%") &amp; " " &amp; "중간테스트 및 보완" &amp; "(조원 전체)" &amp; " " &amp; IF(M73="","",TEXT(M73,"M/D-")) &amp; IF(N73="","",TEXT(N73,"M/D")) &amp; " "</f>
        <v xml:space="preserve">    0.00% 중간테스트 및 보완(조원 전체) 3/28-4/2 </v>
      </c>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row>
    <row r="74" spans="1:147" outlineLevel="3">
      <c r="A74" s="116"/>
      <c r="B74" s="116"/>
      <c r="C74" s="116">
        <v>4</v>
      </c>
      <c r="D74" s="3" t="s">
        <v>1094</v>
      </c>
      <c r="E74" s="184"/>
      <c r="F74" s="184"/>
      <c r="G74" s="184"/>
      <c r="H74" s="212" t="s">
        <v>1082</v>
      </c>
      <c r="I74" s="184"/>
      <c r="J74" s="184"/>
      <c r="K74" s="184"/>
      <c r="L74" s="184"/>
      <c r="M74" s="185">
        <v>43565</v>
      </c>
      <c r="N74" s="185">
        <v>43579</v>
      </c>
      <c r="O74" s="186"/>
      <c r="P74" s="187">
        <v>11</v>
      </c>
      <c r="Q74" s="187">
        <v>0</v>
      </c>
      <c r="R74" s="188">
        <v>11</v>
      </c>
      <c r="S74" s="188">
        <v>0</v>
      </c>
      <c r="T74" s="185"/>
      <c r="U74" s="185"/>
      <c r="V74" s="189"/>
      <c r="W74" s="190">
        <v>0</v>
      </c>
      <c r="X74" s="191">
        <v>1</v>
      </c>
      <c r="Y74" s="186" t="s">
        <v>1166</v>
      </c>
      <c r="Z74" s="192"/>
      <c r="AA74" s="97">
        <v>0</v>
      </c>
      <c r="AB74" s="193">
        <v>0</v>
      </c>
      <c r="AC74" s="123"/>
      <c r="AD74" s="4"/>
      <c r="AE74" s="4"/>
      <c r="AF74" s="4"/>
      <c r="AG74" s="4"/>
      <c r="AH74" s="4"/>
      <c r="AI74" s="4" t="str">
        <f>"   " &amp; TEXT(AB74,"#0.00%") &amp; " " &amp; "프로토 타입 테스트 및 안정화" &amp; "(조원 전체)" &amp; " " &amp; IF(M74="","",TEXT(M74,"M/D-")) &amp; IF(N74="","",TEXT(N74,"M/D")) &amp; " "</f>
        <v xml:space="preserve">   0.00% 프로토 타입 테스트 및 안정화(조원 전체) 4/10-4/24 </v>
      </c>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row>
    <row r="75" spans="1:147" outlineLevel="3">
      <c r="A75" s="116"/>
      <c r="B75" s="116"/>
      <c r="C75" s="116">
        <v>4</v>
      </c>
      <c r="D75" s="3" t="s">
        <v>1165</v>
      </c>
      <c r="E75" s="184"/>
      <c r="F75" s="184"/>
      <c r="G75" s="184"/>
      <c r="H75" s="212" t="s">
        <v>1083</v>
      </c>
      <c r="I75" s="184"/>
      <c r="J75" s="184"/>
      <c r="K75" s="184"/>
      <c r="L75" s="184"/>
      <c r="M75" s="185">
        <v>43601</v>
      </c>
      <c r="N75" s="185">
        <v>43623</v>
      </c>
      <c r="O75" s="186"/>
      <c r="P75" s="187">
        <v>16</v>
      </c>
      <c r="Q75" s="187">
        <v>0</v>
      </c>
      <c r="R75" s="188">
        <v>16</v>
      </c>
      <c r="S75" s="188">
        <v>0</v>
      </c>
      <c r="T75" s="185"/>
      <c r="U75" s="185"/>
      <c r="V75" s="189"/>
      <c r="W75" s="190">
        <v>0</v>
      </c>
      <c r="X75" s="191">
        <v>1</v>
      </c>
      <c r="Y75" s="186" t="s">
        <v>1166</v>
      </c>
      <c r="Z75" s="192"/>
      <c r="AA75" s="97">
        <v>0</v>
      </c>
      <c r="AB75" s="193">
        <v>0</v>
      </c>
      <c r="AC75" s="123"/>
      <c r="AD75" s="4"/>
      <c r="AE75" s="4"/>
      <c r="AF75" s="4"/>
      <c r="AG75" s="4"/>
      <c r="AH75" s="4"/>
      <c r="AI75" s="4"/>
      <c r="AJ75" s="4"/>
      <c r="AK75" s="4"/>
      <c r="AL75" s="4"/>
      <c r="AM75" s="4"/>
      <c r="AN75" s="4" t="str">
        <f>"    " &amp; TEXT(AB75,"#0.00%") &amp; " " &amp; "피드백 반영 및 안정화" &amp; "(조원 전체)" &amp; " " &amp; IF(M75="","",TEXT(M75,"M/D-")) &amp; IF(N75="","",TEXT(N75,"M/D")) &amp; " "</f>
        <v xml:space="preserve">    0.00% 피드백 반영 및 안정화(조원 전체) 5/16-6/7 </v>
      </c>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row>
    <row r="76" spans="1:147" outlineLevel="3">
      <c r="A76" s="116"/>
      <c r="B76" s="116"/>
      <c r="C76" s="116">
        <v>0</v>
      </c>
      <c r="D76" s="3"/>
      <c r="E76" s="184"/>
      <c r="F76" s="184"/>
      <c r="G76" s="184"/>
      <c r="H76" s="212"/>
      <c r="I76" s="184"/>
      <c r="J76" s="184"/>
      <c r="K76" s="184"/>
      <c r="L76" s="184"/>
      <c r="M76" s="185"/>
      <c r="N76" s="185"/>
      <c r="O76" s="186"/>
      <c r="P76" s="187"/>
      <c r="Q76" s="187"/>
      <c r="R76" s="188">
        <v>0</v>
      </c>
      <c r="S76" s="188">
        <v>0</v>
      </c>
      <c r="T76" s="185"/>
      <c r="U76" s="185"/>
      <c r="V76" s="189"/>
      <c r="W76" s="190">
        <v>0</v>
      </c>
      <c r="X76" s="191"/>
      <c r="Y76" s="186"/>
      <c r="Z76" s="192"/>
      <c r="AA76" s="97"/>
      <c r="AB76" s="193"/>
      <c r="AC76" s="123"/>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row>
    <row r="77" spans="1:147">
      <c r="A77" s="116"/>
      <c r="B77" s="116" t="s">
        <v>967</v>
      </c>
      <c r="C77" s="116">
        <v>1</v>
      </c>
      <c r="D77" s="3" t="s">
        <v>1069</v>
      </c>
      <c r="E77" s="184" t="s">
        <v>1064</v>
      </c>
      <c r="F77" s="184"/>
      <c r="G77" s="184"/>
      <c r="H77" s="184"/>
      <c r="I77" s="184"/>
      <c r="J77" s="184"/>
      <c r="K77" s="184"/>
      <c r="L77" s="184"/>
      <c r="M77" s="185">
        <v>43581</v>
      </c>
      <c r="N77" s="185">
        <v>43637</v>
      </c>
      <c r="O77" s="186"/>
      <c r="P77" s="187">
        <v>26</v>
      </c>
      <c r="Q77" s="187">
        <v>0</v>
      </c>
      <c r="R77" s="188">
        <v>39</v>
      </c>
      <c r="S77" s="188">
        <v>0</v>
      </c>
      <c r="T77" s="185"/>
      <c r="U77" s="185"/>
      <c r="V77" s="189">
        <v>0</v>
      </c>
      <c r="W77" s="190">
        <v>0</v>
      </c>
      <c r="X77" s="191"/>
      <c r="Y77" s="186"/>
      <c r="Z77" s="192"/>
      <c r="AA77" s="97">
        <v>0</v>
      </c>
      <c r="AB77" s="193">
        <v>0</v>
      </c>
      <c r="AC77" s="123"/>
      <c r="AD77" s="4"/>
      <c r="AE77" s="4"/>
      <c r="AF77" s="4"/>
      <c r="AG77" s="4"/>
      <c r="AH77" s="4"/>
      <c r="AI77" s="4"/>
      <c r="AJ77" s="4"/>
      <c r="AK77" s="4" t="str">
        <f>"     " &amp; TEXT(AB77,"#0.00%") &amp; " "</f>
        <v xml:space="preserve">     0.00% </v>
      </c>
      <c r="AL77" s="4"/>
      <c r="AM77" s="4"/>
      <c r="AN77" s="4"/>
      <c r="AO77" s="4"/>
      <c r="AP77" s="4"/>
      <c r="AQ77" s="4"/>
      <c r="AR77" s="4"/>
      <c r="AS77" s="4" t="str">
        <f>"      " &amp; "프레젠테이션" &amp; " " &amp; IF(M77="","",TEXT(M77,"M/D-")) &amp; IF(N77="","",TEXT(N77,"M/D")) &amp; " "</f>
        <v xml:space="preserve">      프레젠테이션 4/26-6/21 </v>
      </c>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row>
    <row r="78" spans="1:147" outlineLevel="1">
      <c r="A78" s="116"/>
      <c r="B78" s="116" t="s">
        <v>967</v>
      </c>
      <c r="C78" s="116">
        <v>2</v>
      </c>
      <c r="D78" s="3" t="s">
        <v>1070</v>
      </c>
      <c r="E78" s="184"/>
      <c r="F78" s="184" t="s">
        <v>1076</v>
      </c>
      <c r="G78" s="184"/>
      <c r="H78" s="184"/>
      <c r="I78" s="184"/>
      <c r="J78" s="184"/>
      <c r="K78" s="184"/>
      <c r="L78" s="184"/>
      <c r="M78" s="185">
        <v>43581</v>
      </c>
      <c r="N78" s="185">
        <v>43598</v>
      </c>
      <c r="O78" s="186"/>
      <c r="P78" s="187">
        <v>12</v>
      </c>
      <c r="Q78" s="187">
        <v>0</v>
      </c>
      <c r="R78" s="188">
        <v>11</v>
      </c>
      <c r="S78" s="188">
        <v>0</v>
      </c>
      <c r="T78" s="185"/>
      <c r="U78" s="185"/>
      <c r="V78" s="189">
        <v>0</v>
      </c>
      <c r="W78" s="190">
        <v>0</v>
      </c>
      <c r="X78" s="191"/>
      <c r="Y78" s="186"/>
      <c r="Z78" s="192"/>
      <c r="AA78" s="97">
        <v>0</v>
      </c>
      <c r="AB78" s="193">
        <v>0</v>
      </c>
      <c r="AC78" s="123"/>
      <c r="AD78" s="4"/>
      <c r="AE78" s="4"/>
      <c r="AF78" s="4"/>
      <c r="AG78" s="4"/>
      <c r="AH78" s="4"/>
      <c r="AI78" s="4"/>
      <c r="AJ78" s="4"/>
      <c r="AK78" s="4" t="str">
        <f>"     " &amp; TEXT(AB78,"#0.00%") &amp; " " &amp; "프로토 타입 발표" &amp; " " &amp; IF(M78="","",TEXT(M78,"M/D-")) &amp; IF(N78="","",TEXT(N78,"M/D")) &amp; " "</f>
        <v xml:space="preserve">     0.00% 프로토 타입 발표 4/26-5/13 </v>
      </c>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row>
    <row r="79" spans="1:147" outlineLevel="2">
      <c r="A79" s="116"/>
      <c r="B79" s="116"/>
      <c r="C79" s="116">
        <v>3</v>
      </c>
      <c r="D79" s="3" t="s">
        <v>1071</v>
      </c>
      <c r="E79" s="184"/>
      <c r="F79" s="184"/>
      <c r="G79" s="184" t="s">
        <v>1066</v>
      </c>
      <c r="H79" s="184"/>
      <c r="I79" s="184"/>
      <c r="J79" s="184"/>
      <c r="K79" s="184"/>
      <c r="L79" s="184"/>
      <c r="M79" s="185">
        <v>43581</v>
      </c>
      <c r="N79" s="185">
        <v>43592</v>
      </c>
      <c r="O79" s="186"/>
      <c r="P79" s="187">
        <v>7</v>
      </c>
      <c r="Q79" s="187">
        <v>0</v>
      </c>
      <c r="R79" s="188">
        <v>7</v>
      </c>
      <c r="S79" s="188">
        <v>0</v>
      </c>
      <c r="T79" s="185"/>
      <c r="U79" s="185"/>
      <c r="V79" s="189"/>
      <c r="W79" s="190">
        <v>0</v>
      </c>
      <c r="X79" s="191">
        <v>1</v>
      </c>
      <c r="Y79" s="186" t="s">
        <v>1166</v>
      </c>
      <c r="Z79" s="192"/>
      <c r="AA79" s="97">
        <v>0</v>
      </c>
      <c r="AB79" s="193">
        <v>0</v>
      </c>
      <c r="AC79" s="123"/>
      <c r="AD79" s="4"/>
      <c r="AE79" s="4"/>
      <c r="AF79" s="4"/>
      <c r="AG79" s="4"/>
      <c r="AH79" s="4"/>
      <c r="AI79" s="4"/>
      <c r="AJ79" s="4"/>
      <c r="AK79" s="4" t="str">
        <f>"     " &amp; TEXT(AB79,"#0.00%") &amp; " " &amp; "PPT 작성" &amp; "(조원 전체)" &amp; " " &amp; IF(M79="","",TEXT(M79,"M/D-")) &amp; IF(N79="","",TEXT(N79,"M/D")) &amp; " "</f>
        <v xml:space="preserve">     0.00% PPT 작성(조원 전체) 4/26-5/7 </v>
      </c>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row>
    <row r="80" spans="1:147" outlineLevel="2">
      <c r="A80" s="116"/>
      <c r="B80" s="116"/>
      <c r="C80" s="116">
        <v>3</v>
      </c>
      <c r="D80" s="3" t="s">
        <v>1072</v>
      </c>
      <c r="E80" s="184"/>
      <c r="F80" s="184"/>
      <c r="G80" s="184" t="s">
        <v>1067</v>
      </c>
      <c r="H80" s="184"/>
      <c r="I80" s="184"/>
      <c r="J80" s="184"/>
      <c r="K80" s="184"/>
      <c r="L80" s="184"/>
      <c r="M80" s="185">
        <v>43592</v>
      </c>
      <c r="N80" s="185">
        <v>43598</v>
      </c>
      <c r="O80" s="186"/>
      <c r="P80" s="187">
        <v>5</v>
      </c>
      <c r="Q80" s="187">
        <v>0</v>
      </c>
      <c r="R80" s="188">
        <v>5</v>
      </c>
      <c r="S80" s="188">
        <v>0</v>
      </c>
      <c r="T80" s="185"/>
      <c r="U80" s="185"/>
      <c r="V80" s="189"/>
      <c r="W80" s="190">
        <v>0</v>
      </c>
      <c r="X80" s="191">
        <v>1</v>
      </c>
      <c r="Y80" s="186" t="s">
        <v>1166</v>
      </c>
      <c r="Z80" s="192"/>
      <c r="AA80" s="97">
        <v>0</v>
      </c>
      <c r="AB80" s="193">
        <v>0</v>
      </c>
      <c r="AC80" s="123"/>
      <c r="AD80" s="4"/>
      <c r="AE80" s="4"/>
      <c r="AF80" s="4"/>
      <c r="AG80" s="4"/>
      <c r="AH80" s="4"/>
      <c r="AI80" s="4"/>
      <c r="AJ80" s="4"/>
      <c r="AK80" s="4"/>
      <c r="AL80" s="4"/>
      <c r="AM80" s="4" t="str">
        <f>"  " &amp; TEXT(AB80,"#0.00%") &amp; " " &amp; "스크립트 작성 및 발표 준비" &amp; "(조원 전체)" &amp; " " &amp; IF(M80="","",TEXT(M80,"M/D-")) &amp; IF(N80="","",TEXT(N80,"M/D")) &amp; " "</f>
        <v xml:space="preserve">  0.00% 스크립트 작성 및 발표 준비(조원 전체) 5/7-5/13 </v>
      </c>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row>
    <row r="81" spans="1:147" outlineLevel="2">
      <c r="A81" s="116"/>
      <c r="B81" s="116"/>
      <c r="C81" s="116">
        <v>0</v>
      </c>
      <c r="D81" s="3"/>
      <c r="E81" s="184"/>
      <c r="F81" s="184"/>
      <c r="G81" s="184"/>
      <c r="H81" s="184"/>
      <c r="I81" s="184"/>
      <c r="J81" s="184"/>
      <c r="K81" s="184"/>
      <c r="L81" s="184"/>
      <c r="M81" s="185"/>
      <c r="N81" s="185"/>
      <c r="O81" s="186"/>
      <c r="P81" s="187"/>
      <c r="Q81" s="187"/>
      <c r="R81" s="188">
        <v>0</v>
      </c>
      <c r="S81" s="188">
        <v>0</v>
      </c>
      <c r="T81" s="185"/>
      <c r="U81" s="185"/>
      <c r="V81" s="189"/>
      <c r="W81" s="190">
        <v>0</v>
      </c>
      <c r="X81" s="191"/>
      <c r="Y81" s="186"/>
      <c r="Z81" s="192"/>
      <c r="AA81" s="97"/>
      <c r="AB81" s="193"/>
      <c r="AC81" s="123"/>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row>
    <row r="82" spans="1:147" outlineLevel="1">
      <c r="A82" s="116"/>
      <c r="B82" s="116" t="s">
        <v>967</v>
      </c>
      <c r="C82" s="116">
        <v>2</v>
      </c>
      <c r="D82" s="3" t="s">
        <v>1073</v>
      </c>
      <c r="E82" s="184"/>
      <c r="F82" s="184" t="s">
        <v>1068</v>
      </c>
      <c r="G82" s="184"/>
      <c r="H82" s="184"/>
      <c r="I82" s="184"/>
      <c r="J82" s="184"/>
      <c r="K82" s="184"/>
      <c r="L82" s="184"/>
      <c r="M82" s="185">
        <v>43616</v>
      </c>
      <c r="N82" s="185">
        <v>43633</v>
      </c>
      <c r="O82" s="186"/>
      <c r="P82" s="187">
        <v>12</v>
      </c>
      <c r="Q82" s="187">
        <v>0</v>
      </c>
      <c r="R82" s="188">
        <v>11</v>
      </c>
      <c r="S82" s="188">
        <v>0</v>
      </c>
      <c r="T82" s="185"/>
      <c r="U82" s="185"/>
      <c r="V82" s="189">
        <v>0</v>
      </c>
      <c r="W82" s="190">
        <v>0</v>
      </c>
      <c r="X82" s="191"/>
      <c r="Y82" s="186"/>
      <c r="Z82" s="192"/>
      <c r="AA82" s="97">
        <v>0</v>
      </c>
      <c r="AB82" s="193">
        <v>0</v>
      </c>
      <c r="AC82" s="123"/>
      <c r="AD82" s="4"/>
      <c r="AE82" s="4"/>
      <c r="AF82" s="4"/>
      <c r="AG82" s="4"/>
      <c r="AH82" s="4"/>
      <c r="AI82" s="4"/>
      <c r="AJ82" s="4"/>
      <c r="AK82" s="4"/>
      <c r="AL82" s="4"/>
      <c r="AM82" s="4"/>
      <c r="AN82" s="4"/>
      <c r="AO82" s="4"/>
      <c r="AP82" s="4" t="str">
        <f>"     " &amp; TEXT(AB82,"#0.00%") &amp; " " &amp; "최종 발표" &amp; " " &amp; IF(M82="","",TEXT(M82,"M/D-")) &amp; IF(N82="","",TEXT(N82,"M/D")) &amp; " "</f>
        <v xml:space="preserve">     0.00% 최종 발표 5/31-6/17 </v>
      </c>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row>
    <row r="83" spans="1:147" outlineLevel="2">
      <c r="A83" s="116"/>
      <c r="B83" s="116"/>
      <c r="C83" s="116">
        <v>3</v>
      </c>
      <c r="D83" s="3" t="s">
        <v>1074</v>
      </c>
      <c r="E83" s="184"/>
      <c r="F83" s="184"/>
      <c r="G83" s="184" t="s">
        <v>1066</v>
      </c>
      <c r="H83" s="184"/>
      <c r="I83" s="184"/>
      <c r="J83" s="184"/>
      <c r="K83" s="184"/>
      <c r="L83" s="184"/>
      <c r="M83" s="185">
        <v>43616</v>
      </c>
      <c r="N83" s="185">
        <v>43626</v>
      </c>
      <c r="O83" s="186"/>
      <c r="P83" s="187">
        <v>6</v>
      </c>
      <c r="Q83" s="187">
        <v>0</v>
      </c>
      <c r="R83" s="188">
        <v>6</v>
      </c>
      <c r="S83" s="188">
        <v>0</v>
      </c>
      <c r="T83" s="185"/>
      <c r="U83" s="185"/>
      <c r="V83" s="189"/>
      <c r="W83" s="190">
        <v>0</v>
      </c>
      <c r="X83" s="191">
        <v>1</v>
      </c>
      <c r="Y83" s="186" t="s">
        <v>1166</v>
      </c>
      <c r="Z83" s="192"/>
      <c r="AA83" s="97">
        <v>0</v>
      </c>
      <c r="AB83" s="193">
        <v>0</v>
      </c>
      <c r="AC83" s="123"/>
      <c r="AD83" s="4"/>
      <c r="AE83" s="4"/>
      <c r="AF83" s="4"/>
      <c r="AG83" s="4"/>
      <c r="AH83" s="4"/>
      <c r="AI83" s="4"/>
      <c r="AJ83" s="4"/>
      <c r="AK83" s="4"/>
      <c r="AL83" s="4"/>
      <c r="AM83" s="4"/>
      <c r="AN83" s="4"/>
      <c r="AO83" s="4"/>
      <c r="AP83" s="4" t="str">
        <f>"     " &amp; TEXT(AB83,"#0.00%") &amp; " " &amp; "PPT 작성" &amp; "(조원 전체)" &amp; " " &amp; IF(M83="","",TEXT(M83,"M/D-")) &amp; IF(N83="","",TEXT(N83,"M/D")) &amp; " "</f>
        <v xml:space="preserve">     0.00% PPT 작성(조원 전체) 5/31-6/10 </v>
      </c>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row>
    <row r="84" spans="1:147" outlineLevel="2">
      <c r="A84" s="116"/>
      <c r="B84" s="116"/>
      <c r="C84" s="116">
        <v>3</v>
      </c>
      <c r="D84" s="3" t="s">
        <v>1075</v>
      </c>
      <c r="E84" s="184"/>
      <c r="F84" s="184"/>
      <c r="G84" s="184" t="s">
        <v>1067</v>
      </c>
      <c r="H84" s="184"/>
      <c r="I84" s="184"/>
      <c r="J84" s="184"/>
      <c r="K84" s="184"/>
      <c r="L84" s="184"/>
      <c r="M84" s="185">
        <v>43626</v>
      </c>
      <c r="N84" s="185">
        <v>43633</v>
      </c>
      <c r="O84" s="186"/>
      <c r="P84" s="187">
        <v>6</v>
      </c>
      <c r="Q84" s="187">
        <v>0</v>
      </c>
      <c r="R84" s="188">
        <v>6</v>
      </c>
      <c r="S84" s="188">
        <v>0</v>
      </c>
      <c r="T84" s="185"/>
      <c r="U84" s="185"/>
      <c r="V84" s="189"/>
      <c r="W84" s="190">
        <v>0</v>
      </c>
      <c r="X84" s="191">
        <v>1</v>
      </c>
      <c r="Y84" s="186" t="s">
        <v>1166</v>
      </c>
      <c r="Z84" s="192"/>
      <c r="AA84" s="97">
        <v>0</v>
      </c>
      <c r="AB84" s="193">
        <v>0</v>
      </c>
      <c r="AC84" s="123"/>
      <c r="AD84" s="4"/>
      <c r="AE84" s="4"/>
      <c r="AF84" s="4"/>
      <c r="AG84" s="4"/>
      <c r="AH84" s="4"/>
      <c r="AI84" s="4"/>
      <c r="AJ84" s="4"/>
      <c r="AK84" s="4"/>
      <c r="AL84" s="4"/>
      <c r="AM84" s="4"/>
      <c r="AN84" s="4"/>
      <c r="AO84" s="4"/>
      <c r="AP84" s="4"/>
      <c r="AQ84" s="4"/>
      <c r="AR84" s="4" t="str">
        <f>" " &amp; TEXT(AB84,"#0.00%") &amp; " " &amp; "스크립트 작성 및 발표 준비" &amp; "(조원 전체)" &amp; " " &amp; IF(M84="","",TEXT(M84,"M/D-")) &amp; IF(N84="","",TEXT(N84,"M/D")) &amp; " "</f>
        <v xml:space="preserve"> 0.00% 스크립트 작성 및 발표 준비(조원 전체) 6/10-6/17 </v>
      </c>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row>
    <row r="85" spans="1:147" outlineLevel="2">
      <c r="A85" s="116"/>
      <c r="B85" s="116"/>
      <c r="C85" s="116">
        <v>0</v>
      </c>
      <c r="D85" s="3"/>
      <c r="E85" s="184"/>
      <c r="F85" s="184"/>
      <c r="G85" s="184"/>
      <c r="H85" s="184"/>
      <c r="I85" s="184"/>
      <c r="J85" s="184"/>
      <c r="K85" s="184"/>
      <c r="L85" s="184"/>
      <c r="M85" s="185"/>
      <c r="N85" s="185"/>
      <c r="O85" s="186"/>
      <c r="P85" s="187"/>
      <c r="Q85" s="187"/>
      <c r="R85" s="188">
        <v>0</v>
      </c>
      <c r="S85" s="188">
        <v>0</v>
      </c>
      <c r="T85" s="185"/>
      <c r="U85" s="185"/>
      <c r="V85" s="189"/>
      <c r="W85" s="190">
        <v>0</v>
      </c>
      <c r="X85" s="191"/>
      <c r="Y85" s="186"/>
      <c r="Z85" s="192"/>
      <c r="AA85" s="97"/>
      <c r="AB85" s="193"/>
      <c r="AC85" s="123"/>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row>
    <row r="86" spans="1:147" outlineLevel="1">
      <c r="A86" s="116"/>
      <c r="B86" s="116"/>
      <c r="C86" s="116">
        <v>2</v>
      </c>
      <c r="D86" s="260" t="s">
        <v>1099</v>
      </c>
      <c r="E86" s="261"/>
      <c r="F86" s="272" t="s">
        <v>1098</v>
      </c>
      <c r="G86" s="261"/>
      <c r="H86" s="261"/>
      <c r="I86" s="261"/>
      <c r="J86" s="261"/>
      <c r="K86" s="261"/>
      <c r="L86" s="261"/>
      <c r="M86" s="262">
        <v>43636</v>
      </c>
      <c r="N86" s="262">
        <v>43637</v>
      </c>
      <c r="O86" s="263"/>
      <c r="P86" s="264">
        <v>2</v>
      </c>
      <c r="Q86" s="264">
        <v>0</v>
      </c>
      <c r="R86" s="265">
        <v>2</v>
      </c>
      <c r="S86" s="265">
        <v>0</v>
      </c>
      <c r="T86" s="262"/>
      <c r="U86" s="262"/>
      <c r="V86" s="266"/>
      <c r="W86" s="267">
        <v>0</v>
      </c>
      <c r="X86" s="268">
        <v>1</v>
      </c>
      <c r="Y86" s="263" t="s">
        <v>1166</v>
      </c>
      <c r="Z86" s="269"/>
      <c r="AA86" s="270">
        <v>0</v>
      </c>
      <c r="AB86" s="271">
        <v>0</v>
      </c>
      <c r="AC86" s="123"/>
      <c r="AD86" s="4"/>
      <c r="AE86" s="4"/>
      <c r="AF86" s="4"/>
      <c r="AG86" s="4"/>
      <c r="AH86" s="4"/>
      <c r="AI86" s="4"/>
      <c r="AJ86" s="4"/>
      <c r="AK86" s="4"/>
      <c r="AL86" s="4"/>
      <c r="AM86" s="4"/>
      <c r="AN86" s="4"/>
      <c r="AO86" s="4"/>
      <c r="AP86" s="4"/>
      <c r="AQ86" s="4"/>
      <c r="AR86" s="4"/>
      <c r="AS86" s="4" t="str">
        <f>"    " &amp; TEXT(AB86,"#0.00%") &amp; " " &amp; "프로젝트 결과 정리" &amp; "(조원 전체)" &amp; " " &amp; IF(M86="","",TEXT(M86,"M/D-")) &amp; IF(N86="","",TEXT(N86,"M/D")) &amp; " "</f>
        <v xml:space="preserve">    0.00% 프로젝트 결과 정리(조원 전체) 6/20-6/21 </v>
      </c>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row>
    <row r="87" spans="1:147">
      <c r="A87" s="194"/>
      <c r="B87" s="194"/>
      <c r="C87" s="194"/>
      <c r="D87" s="195"/>
      <c r="E87" s="196"/>
      <c r="F87" s="196"/>
      <c r="G87" s="196"/>
      <c r="H87" s="196"/>
      <c r="I87" s="196"/>
      <c r="J87" s="196"/>
      <c r="K87" s="196"/>
      <c r="L87" s="196"/>
      <c r="M87" s="197"/>
      <c r="N87" s="197"/>
      <c r="O87" s="198"/>
      <c r="P87" s="199"/>
      <c r="Q87" s="199"/>
      <c r="R87" s="200"/>
      <c r="S87" s="200"/>
      <c r="T87" s="197"/>
      <c r="U87" s="197"/>
      <c r="V87" s="201"/>
      <c r="W87" s="202"/>
      <c r="X87" s="203"/>
      <c r="Y87" s="198"/>
      <c r="Z87" s="204"/>
      <c r="AA87" s="205"/>
      <c r="AB87" s="206"/>
      <c r="AC87" s="182"/>
      <c r="AD87" s="182"/>
      <c r="AE87" s="182"/>
      <c r="AF87" s="182"/>
      <c r="AG87" s="182"/>
      <c r="AH87" s="182"/>
      <c r="AI87" s="182"/>
      <c r="AJ87" s="182"/>
      <c r="AK87" s="182"/>
      <c r="AL87" s="182"/>
      <c r="AM87" s="182"/>
      <c r="AN87" s="182"/>
      <c r="AO87" s="182"/>
      <c r="AP87" s="182"/>
      <c r="AQ87" s="182"/>
      <c r="AR87" s="182"/>
      <c r="AS87" s="182"/>
      <c r="AT87" s="182"/>
      <c r="AU87" s="182"/>
      <c r="AV87" s="182"/>
      <c r="AW87" s="182"/>
      <c r="AX87" s="182"/>
      <c r="AY87" s="182"/>
      <c r="AZ87" s="182"/>
      <c r="BA87" s="182"/>
      <c r="BB87" s="182"/>
      <c r="BC87" s="182"/>
      <c r="BD87" s="182"/>
      <c r="BE87" s="182"/>
      <c r="BF87" s="182"/>
      <c r="BG87" s="182"/>
      <c r="BH87" s="182"/>
      <c r="BI87" s="182"/>
      <c r="BJ87" s="182"/>
      <c r="BK87" s="182"/>
      <c r="BL87" s="182"/>
      <c r="BM87" s="182"/>
      <c r="BN87" s="182"/>
      <c r="BO87" s="182"/>
      <c r="BP87" s="182"/>
      <c r="BQ87" s="182"/>
      <c r="BR87" s="182"/>
      <c r="BS87" s="182"/>
      <c r="BT87" s="182"/>
      <c r="BU87" s="182"/>
      <c r="BV87" s="182"/>
      <c r="BW87" s="182"/>
      <c r="BX87" s="182"/>
      <c r="BY87" s="182"/>
      <c r="BZ87" s="182"/>
      <c r="CA87" s="182"/>
      <c r="CB87" s="182"/>
      <c r="CC87" s="182"/>
      <c r="CD87" s="182"/>
      <c r="CE87" s="182"/>
      <c r="CF87" s="182"/>
      <c r="CG87" s="182"/>
      <c r="CH87" s="182"/>
      <c r="CI87" s="182"/>
      <c r="CJ87" s="182"/>
      <c r="CK87" s="182"/>
      <c r="CL87" s="182"/>
      <c r="CM87" s="182"/>
      <c r="CN87" s="182"/>
      <c r="CO87" s="182"/>
      <c r="CP87" s="182"/>
      <c r="CQ87" s="182"/>
      <c r="CR87" s="182"/>
      <c r="CS87" s="182"/>
      <c r="CT87" s="182"/>
      <c r="CU87" s="182"/>
      <c r="CV87" s="182"/>
      <c r="CW87" s="182"/>
      <c r="CX87" s="182"/>
      <c r="CY87" s="182"/>
      <c r="CZ87" s="182"/>
      <c r="DA87" s="182"/>
      <c r="DB87" s="182"/>
      <c r="DC87" s="182"/>
      <c r="DD87" s="182"/>
      <c r="DE87" s="182"/>
      <c r="DF87" s="182"/>
      <c r="DG87" s="182"/>
      <c r="DH87" s="182"/>
      <c r="DI87" s="182"/>
      <c r="DJ87" s="182"/>
      <c r="DK87" s="182"/>
      <c r="DL87" s="182"/>
      <c r="DM87" s="182"/>
      <c r="DN87" s="182"/>
      <c r="DO87" s="182"/>
      <c r="DP87" s="182"/>
      <c r="DQ87" s="182"/>
      <c r="DR87" s="182"/>
      <c r="DS87" s="182"/>
      <c r="DT87" s="182"/>
      <c r="DU87" s="182"/>
      <c r="DV87" s="182"/>
      <c r="DW87" s="182"/>
      <c r="DX87" s="182"/>
      <c r="DY87" s="182"/>
      <c r="DZ87" s="182"/>
      <c r="EA87" s="182"/>
      <c r="EB87" s="182"/>
      <c r="EC87" s="182"/>
      <c r="ED87" s="182"/>
      <c r="EE87" s="182"/>
      <c r="EF87" s="182"/>
      <c r="EG87" s="182"/>
      <c r="EH87" s="182"/>
      <c r="EI87" s="182"/>
      <c r="EJ87" s="182"/>
      <c r="EK87" s="182"/>
      <c r="EL87" s="182"/>
      <c r="EM87" s="182"/>
      <c r="EN87" s="182"/>
      <c r="EO87" s="182"/>
      <c r="EP87" s="182"/>
      <c r="EQ87" s="182"/>
    </row>
    <row r="88" spans="1:147">
      <c r="A88" s="116"/>
      <c r="B88" s="116"/>
      <c r="C88" s="116"/>
      <c r="D88" s="3"/>
      <c r="E88" s="184"/>
      <c r="F88" s="184"/>
      <c r="G88" s="184"/>
      <c r="H88" s="184"/>
      <c r="I88" s="184"/>
      <c r="J88" s="184"/>
      <c r="K88" s="184"/>
      <c r="L88" s="184"/>
      <c r="M88" s="185"/>
      <c r="N88" s="185"/>
      <c r="O88" s="186"/>
      <c r="P88" s="187"/>
      <c r="Q88" s="187"/>
      <c r="R88" s="188"/>
      <c r="S88" s="188"/>
      <c r="T88" s="185"/>
      <c r="U88" s="185"/>
      <c r="V88" s="189"/>
      <c r="W88" s="190"/>
      <c r="X88" s="191"/>
      <c r="Y88" s="186"/>
      <c r="Z88" s="192"/>
      <c r="AA88" s="97"/>
      <c r="AB88" s="193"/>
    </row>
    <row r="89" spans="1:147">
      <c r="A89" s="116"/>
      <c r="B89" s="116"/>
      <c r="C89" s="116"/>
      <c r="D89" s="3"/>
      <c r="E89" s="184"/>
      <c r="F89" s="184"/>
      <c r="G89" s="184"/>
      <c r="H89" s="184"/>
      <c r="I89" s="184"/>
      <c r="J89" s="184"/>
      <c r="K89" s="184"/>
      <c r="L89" s="184"/>
      <c r="M89" s="185"/>
      <c r="N89" s="185"/>
      <c r="O89" s="186"/>
      <c r="P89" s="187"/>
      <c r="Q89" s="187"/>
      <c r="R89" s="188"/>
      <c r="S89" s="188"/>
      <c r="T89" s="185"/>
      <c r="U89" s="185"/>
      <c r="V89" s="189"/>
      <c r="W89" s="190"/>
      <c r="X89" s="191"/>
      <c r="Y89" s="186"/>
      <c r="Z89" s="192"/>
      <c r="AA89" s="97"/>
      <c r="AB89" s="193"/>
    </row>
    <row r="90" spans="1:147">
      <c r="A90" s="116"/>
      <c r="B90" s="116"/>
      <c r="C90" s="116"/>
      <c r="D90" s="3"/>
      <c r="E90" s="184"/>
      <c r="F90" s="184"/>
      <c r="G90" s="184"/>
      <c r="H90" s="184"/>
      <c r="I90" s="184"/>
      <c r="J90" s="184"/>
      <c r="K90" s="184"/>
      <c r="L90" s="184"/>
      <c r="M90" s="185"/>
      <c r="N90" s="185"/>
      <c r="O90" s="186"/>
      <c r="P90" s="187"/>
      <c r="Q90" s="187"/>
      <c r="R90" s="188"/>
      <c r="S90" s="188"/>
      <c r="T90" s="185"/>
      <c r="U90" s="185"/>
      <c r="V90" s="189"/>
      <c r="W90" s="190"/>
      <c r="X90" s="191"/>
      <c r="Y90" s="186"/>
      <c r="Z90" s="192"/>
      <c r="AA90" s="97"/>
      <c r="AB90" s="193"/>
    </row>
    <row r="91" spans="1:147">
      <c r="A91" s="116"/>
      <c r="B91" s="116"/>
      <c r="C91" s="116"/>
      <c r="D91" s="3"/>
      <c r="E91" s="184"/>
      <c r="F91" s="184"/>
      <c r="G91" s="184"/>
      <c r="H91" s="184"/>
      <c r="I91" s="184"/>
      <c r="J91" s="184"/>
      <c r="K91" s="184"/>
      <c r="L91" s="184"/>
      <c r="M91" s="185"/>
      <c r="N91" s="185"/>
      <c r="O91" s="186"/>
      <c r="P91" s="187"/>
      <c r="Q91" s="187"/>
      <c r="R91" s="188"/>
      <c r="S91" s="188"/>
      <c r="T91" s="185"/>
      <c r="U91" s="185"/>
      <c r="V91" s="189"/>
      <c r="W91" s="190"/>
      <c r="X91" s="191"/>
      <c r="Y91" s="186"/>
      <c r="Z91" s="192"/>
      <c r="AA91" s="97"/>
      <c r="AB91" s="193"/>
    </row>
    <row r="92" spans="1:147">
      <c r="A92" s="116"/>
      <c r="B92" s="116"/>
      <c r="C92" s="116"/>
      <c r="D92" s="3"/>
      <c r="E92" s="184"/>
      <c r="F92" s="184"/>
      <c r="G92" s="184"/>
      <c r="H92" s="184"/>
      <c r="I92" s="184"/>
      <c r="J92" s="184"/>
      <c r="K92" s="184"/>
      <c r="L92" s="184"/>
      <c r="M92" s="185"/>
      <c r="N92" s="185"/>
      <c r="O92" s="186"/>
      <c r="P92" s="187"/>
      <c r="Q92" s="187"/>
      <c r="R92" s="188"/>
      <c r="S92" s="188"/>
      <c r="T92" s="185"/>
      <c r="U92" s="185"/>
      <c r="V92" s="189"/>
      <c r="W92" s="190"/>
      <c r="X92" s="191"/>
      <c r="Y92" s="186"/>
      <c r="Z92" s="192"/>
      <c r="AA92" s="97"/>
      <c r="AB92" s="193"/>
    </row>
    <row r="93" spans="1:147">
      <c r="A93" s="116"/>
      <c r="B93" s="116"/>
      <c r="C93" s="116"/>
      <c r="D93" s="3"/>
      <c r="E93" s="184"/>
      <c r="F93" s="184"/>
      <c r="G93" s="184"/>
      <c r="H93" s="184"/>
      <c r="I93" s="184"/>
      <c r="J93" s="184"/>
      <c r="K93" s="184"/>
      <c r="L93" s="184"/>
      <c r="M93" s="185"/>
      <c r="N93" s="185"/>
      <c r="O93" s="186"/>
      <c r="P93" s="187"/>
      <c r="Q93" s="187"/>
      <c r="R93" s="188"/>
      <c r="S93" s="188"/>
      <c r="T93" s="185"/>
      <c r="U93" s="185"/>
      <c r="V93" s="189"/>
      <c r="W93" s="190"/>
      <c r="X93" s="191"/>
      <c r="Y93" s="186"/>
      <c r="Z93" s="192"/>
      <c r="AA93" s="97"/>
      <c r="AB93" s="193"/>
    </row>
    <row r="94" spans="1:147">
      <c r="A94" s="116"/>
      <c r="B94" s="116"/>
      <c r="C94" s="116"/>
      <c r="D94" s="3"/>
      <c r="E94" s="184"/>
      <c r="F94" s="184"/>
      <c r="G94" s="184"/>
      <c r="H94" s="184"/>
      <c r="I94" s="184"/>
      <c r="J94" s="184"/>
      <c r="K94" s="184"/>
      <c r="L94" s="184"/>
      <c r="M94" s="185"/>
      <c r="N94" s="185"/>
      <c r="O94" s="186"/>
      <c r="P94" s="187"/>
      <c r="Q94" s="187"/>
      <c r="R94" s="188"/>
      <c r="S94" s="188"/>
      <c r="T94" s="185"/>
      <c r="U94" s="185"/>
      <c r="V94" s="189"/>
      <c r="W94" s="190"/>
      <c r="X94" s="191"/>
      <c r="Y94" s="186"/>
      <c r="Z94" s="192"/>
      <c r="AA94" s="97"/>
      <c r="AB94" s="193"/>
    </row>
    <row r="95" spans="1:147">
      <c r="A95" s="116"/>
      <c r="B95" s="116"/>
      <c r="C95" s="116"/>
      <c r="D95" s="3"/>
      <c r="E95" s="184"/>
      <c r="F95" s="184"/>
      <c r="G95" s="184"/>
      <c r="H95" s="184"/>
      <c r="I95" s="184"/>
      <c r="J95" s="184"/>
      <c r="K95" s="184"/>
      <c r="L95" s="184"/>
      <c r="M95" s="185"/>
      <c r="N95" s="185"/>
      <c r="O95" s="186"/>
      <c r="P95" s="187"/>
      <c r="Q95" s="187"/>
      <c r="R95" s="188"/>
      <c r="S95" s="188"/>
      <c r="T95" s="185"/>
      <c r="U95" s="185"/>
      <c r="V95" s="189"/>
      <c r="W95" s="190"/>
      <c r="X95" s="191"/>
      <c r="Y95" s="186"/>
      <c r="Z95" s="192"/>
      <c r="AA95" s="97"/>
      <c r="AB95" s="193"/>
    </row>
    <row r="96" spans="1:147">
      <c r="A96" s="116"/>
      <c r="B96" s="116"/>
      <c r="C96" s="116"/>
      <c r="D96" s="3"/>
      <c r="E96" s="184"/>
      <c r="F96" s="184"/>
      <c r="G96" s="184"/>
      <c r="H96" s="184"/>
      <c r="I96" s="184"/>
      <c r="J96" s="184"/>
      <c r="K96" s="184"/>
      <c r="L96" s="184"/>
      <c r="M96" s="185"/>
      <c r="N96" s="185"/>
      <c r="O96" s="186"/>
      <c r="P96" s="187"/>
      <c r="Q96" s="187"/>
      <c r="R96" s="188"/>
      <c r="S96" s="188"/>
      <c r="T96" s="185"/>
      <c r="U96" s="185"/>
      <c r="V96" s="189"/>
      <c r="W96" s="190"/>
      <c r="X96" s="191"/>
      <c r="Y96" s="186"/>
      <c r="Z96" s="192"/>
      <c r="AA96" s="97"/>
      <c r="AB96" s="193"/>
    </row>
    <row r="97" spans="1:28">
      <c r="A97" s="116"/>
      <c r="B97" s="116"/>
      <c r="C97" s="116"/>
      <c r="D97" s="3"/>
      <c r="E97" s="184"/>
      <c r="F97" s="184"/>
      <c r="G97" s="184"/>
      <c r="H97" s="184"/>
      <c r="I97" s="184"/>
      <c r="J97" s="184"/>
      <c r="K97" s="184"/>
      <c r="L97" s="184"/>
      <c r="M97" s="185"/>
      <c r="N97" s="185"/>
      <c r="O97" s="186"/>
      <c r="P97" s="187"/>
      <c r="Q97" s="187"/>
      <c r="R97" s="188"/>
      <c r="S97" s="188"/>
      <c r="T97" s="185"/>
      <c r="U97" s="185"/>
      <c r="V97" s="189"/>
      <c r="W97" s="190"/>
      <c r="X97" s="191"/>
      <c r="Y97" s="186"/>
      <c r="Z97" s="192"/>
      <c r="AA97" s="97"/>
      <c r="AB97" s="193"/>
    </row>
    <row r="98" spans="1:28">
      <c r="A98" s="116"/>
      <c r="B98" s="116"/>
      <c r="C98" s="116"/>
      <c r="D98" s="3"/>
      <c r="E98" s="184"/>
      <c r="F98" s="184"/>
      <c r="G98" s="184"/>
      <c r="H98" s="184"/>
      <c r="I98" s="184"/>
      <c r="J98" s="184"/>
      <c r="K98" s="184"/>
      <c r="L98" s="184"/>
      <c r="M98" s="185"/>
      <c r="N98" s="185"/>
      <c r="O98" s="186"/>
      <c r="P98" s="187"/>
      <c r="Q98" s="187"/>
      <c r="R98" s="188"/>
      <c r="S98" s="188"/>
      <c r="T98" s="185"/>
      <c r="U98" s="185"/>
      <c r="V98" s="189"/>
      <c r="W98" s="190"/>
      <c r="X98" s="191"/>
      <c r="Y98" s="186"/>
      <c r="Z98" s="192"/>
      <c r="AA98" s="97"/>
      <c r="AB98" s="193"/>
    </row>
    <row r="99" spans="1:28">
      <c r="A99" s="116"/>
      <c r="B99" s="116"/>
      <c r="C99" s="116"/>
      <c r="D99" s="3"/>
      <c r="E99" s="184"/>
      <c r="F99" s="184"/>
      <c r="G99" s="184"/>
      <c r="H99" s="184"/>
      <c r="I99" s="184"/>
      <c r="J99" s="184"/>
      <c r="K99" s="184"/>
      <c r="L99" s="184"/>
      <c r="M99" s="185"/>
      <c r="N99" s="185"/>
      <c r="O99" s="186"/>
      <c r="P99" s="187"/>
      <c r="Q99" s="187"/>
      <c r="R99" s="188"/>
      <c r="S99" s="188"/>
      <c r="T99" s="185"/>
      <c r="U99" s="185"/>
      <c r="V99" s="189"/>
      <c r="W99" s="190"/>
      <c r="X99" s="191"/>
      <c r="Y99" s="186"/>
      <c r="Z99" s="192"/>
      <c r="AA99" s="97"/>
      <c r="AB99" s="193"/>
    </row>
    <row r="100" spans="1:28">
      <c r="A100" s="116"/>
      <c r="B100" s="116"/>
      <c r="C100" s="116"/>
      <c r="D100" s="3"/>
      <c r="E100" s="184"/>
      <c r="F100" s="184"/>
      <c r="G100" s="184"/>
      <c r="H100" s="184"/>
      <c r="I100" s="184"/>
      <c r="J100" s="184"/>
      <c r="K100" s="184"/>
      <c r="L100" s="184"/>
      <c r="M100" s="185"/>
      <c r="N100" s="185"/>
      <c r="O100" s="186"/>
      <c r="P100" s="187"/>
      <c r="Q100" s="187"/>
      <c r="R100" s="188"/>
      <c r="S100" s="188"/>
      <c r="T100" s="185"/>
      <c r="U100" s="185"/>
      <c r="V100" s="189"/>
      <c r="W100" s="190"/>
      <c r="X100" s="191"/>
      <c r="Y100" s="186"/>
      <c r="Z100" s="192"/>
      <c r="AA100" s="97"/>
      <c r="AB100" s="193"/>
    </row>
    <row r="101" spans="1:28">
      <c r="A101" s="116"/>
      <c r="B101" s="116"/>
      <c r="C101" s="116"/>
      <c r="D101" s="3"/>
      <c r="E101" s="184"/>
      <c r="F101" s="184"/>
      <c r="G101" s="184"/>
      <c r="H101" s="184"/>
      <c r="I101" s="184"/>
      <c r="J101" s="184"/>
      <c r="K101" s="184"/>
      <c r="L101" s="184"/>
      <c r="M101" s="185"/>
      <c r="N101" s="185"/>
      <c r="O101" s="186"/>
      <c r="P101" s="187"/>
      <c r="Q101" s="187"/>
      <c r="R101" s="188"/>
      <c r="S101" s="188"/>
      <c r="T101" s="185"/>
      <c r="U101" s="185"/>
      <c r="V101" s="189"/>
      <c r="W101" s="190"/>
      <c r="X101" s="191"/>
      <c r="Y101" s="186"/>
      <c r="Z101" s="192"/>
      <c r="AA101" s="97"/>
      <c r="AB101" s="193"/>
    </row>
    <row r="102" spans="1:28">
      <c r="A102" s="116"/>
      <c r="B102" s="116"/>
      <c r="C102" s="116"/>
      <c r="D102" s="3"/>
      <c r="E102" s="184"/>
      <c r="F102" s="184"/>
      <c r="G102" s="184"/>
      <c r="H102" s="184"/>
      <c r="I102" s="184"/>
      <c r="J102" s="184"/>
      <c r="K102" s="184"/>
      <c r="L102" s="184"/>
      <c r="M102" s="185"/>
      <c r="N102" s="185"/>
      <c r="O102" s="186"/>
      <c r="P102" s="187"/>
      <c r="Q102" s="187"/>
      <c r="R102" s="188"/>
      <c r="S102" s="188"/>
      <c r="T102" s="185"/>
      <c r="U102" s="185"/>
      <c r="V102" s="189"/>
      <c r="W102" s="190"/>
      <c r="X102" s="191"/>
      <c r="Y102" s="186"/>
      <c r="Z102" s="192"/>
      <c r="AA102" s="97"/>
      <c r="AB102" s="193"/>
    </row>
    <row r="103" spans="1:28">
      <c r="A103" s="116"/>
      <c r="B103" s="116"/>
      <c r="C103" s="116"/>
      <c r="D103" s="3"/>
      <c r="E103" s="184"/>
      <c r="F103" s="184"/>
      <c r="G103" s="184"/>
      <c r="H103" s="184"/>
      <c r="I103" s="184"/>
      <c r="J103" s="184"/>
      <c r="K103" s="184"/>
      <c r="L103" s="184"/>
      <c r="M103" s="185"/>
      <c r="N103" s="185"/>
      <c r="O103" s="186"/>
      <c r="P103" s="187"/>
      <c r="Q103" s="187"/>
      <c r="R103" s="188"/>
      <c r="S103" s="188"/>
      <c r="T103" s="185"/>
      <c r="U103" s="185"/>
      <c r="V103" s="189"/>
      <c r="W103" s="190"/>
      <c r="X103" s="191"/>
      <c r="Y103" s="186"/>
      <c r="Z103" s="192"/>
      <c r="AA103" s="97"/>
      <c r="AB103" s="193"/>
    </row>
    <row r="104" spans="1:28">
      <c r="A104" s="116"/>
      <c r="B104" s="116"/>
      <c r="C104" s="116"/>
      <c r="D104" s="3"/>
      <c r="E104" s="184"/>
      <c r="F104" s="184"/>
      <c r="G104" s="184"/>
      <c r="H104" s="184"/>
      <c r="I104" s="184"/>
      <c r="J104" s="184"/>
      <c r="K104" s="184"/>
      <c r="L104" s="184"/>
      <c r="M104" s="185"/>
      <c r="N104" s="185"/>
      <c r="O104" s="186"/>
      <c r="P104" s="187"/>
      <c r="Q104" s="187"/>
      <c r="R104" s="188"/>
      <c r="S104" s="188"/>
      <c r="T104" s="185"/>
      <c r="U104" s="185"/>
      <c r="V104" s="189"/>
      <c r="W104" s="190"/>
      <c r="X104" s="191"/>
      <c r="Y104" s="186"/>
      <c r="Z104" s="192"/>
      <c r="AA104" s="97"/>
      <c r="AB104" s="193"/>
    </row>
    <row r="105" spans="1:28">
      <c r="A105" s="116"/>
      <c r="B105" s="116"/>
      <c r="C105" s="116"/>
      <c r="D105" s="207"/>
      <c r="E105" s="184"/>
      <c r="F105" s="184"/>
      <c r="G105" s="184"/>
      <c r="H105" s="184"/>
      <c r="I105" s="184"/>
      <c r="J105" s="184"/>
      <c r="K105" s="184"/>
      <c r="L105" s="184"/>
      <c r="M105" s="185"/>
      <c r="N105" s="185"/>
      <c r="O105" s="186"/>
      <c r="P105" s="187"/>
      <c r="Q105" s="187"/>
      <c r="R105" s="188"/>
      <c r="S105" s="188"/>
      <c r="T105" s="185"/>
      <c r="U105" s="185"/>
      <c r="V105" s="189"/>
      <c r="W105" s="190"/>
      <c r="X105" s="191"/>
      <c r="Y105" s="186"/>
      <c r="Z105" s="192"/>
      <c r="AA105" s="97"/>
      <c r="AB105" s="193"/>
    </row>
    <row r="106" spans="1:28">
      <c r="A106" s="116"/>
      <c r="B106" s="116"/>
      <c r="C106" s="116"/>
      <c r="D106" s="3"/>
      <c r="E106" s="184"/>
      <c r="F106" s="184"/>
      <c r="G106" s="184"/>
      <c r="H106" s="184"/>
      <c r="I106" s="184"/>
      <c r="J106" s="184"/>
      <c r="K106" s="184"/>
      <c r="L106" s="184"/>
      <c r="M106" s="185"/>
      <c r="N106" s="185"/>
      <c r="O106" s="186"/>
      <c r="P106" s="187"/>
      <c r="Q106" s="187"/>
      <c r="R106" s="188"/>
      <c r="S106" s="188"/>
      <c r="T106" s="185"/>
      <c r="U106" s="185"/>
      <c r="V106" s="189"/>
      <c r="W106" s="190"/>
      <c r="X106" s="191"/>
      <c r="Y106" s="186"/>
      <c r="Z106" s="192"/>
      <c r="AA106" s="97"/>
      <c r="AB106" s="193"/>
    </row>
    <row r="107" spans="1:28">
      <c r="A107" s="116"/>
      <c r="B107" s="116"/>
      <c r="C107" s="116"/>
      <c r="D107" s="3"/>
      <c r="E107" s="184"/>
      <c r="F107" s="184"/>
      <c r="G107" s="184"/>
      <c r="H107" s="184"/>
      <c r="I107" s="184"/>
      <c r="J107" s="184"/>
      <c r="K107" s="184"/>
      <c r="L107" s="184"/>
      <c r="M107" s="185"/>
      <c r="N107" s="185"/>
      <c r="O107" s="186"/>
      <c r="P107" s="187"/>
      <c r="Q107" s="187"/>
      <c r="R107" s="188"/>
      <c r="S107" s="188"/>
      <c r="T107" s="185"/>
      <c r="U107" s="185"/>
      <c r="V107" s="189"/>
      <c r="W107" s="190"/>
      <c r="X107" s="191"/>
      <c r="Y107" s="186"/>
      <c r="Z107" s="192"/>
      <c r="AA107" s="97"/>
      <c r="AB107" s="193"/>
    </row>
    <row r="108" spans="1:28">
      <c r="A108" s="116"/>
      <c r="B108" s="116"/>
      <c r="C108" s="116"/>
      <c r="D108" s="3"/>
      <c r="E108" s="184"/>
      <c r="F108" s="184"/>
      <c r="G108" s="184"/>
      <c r="H108" s="184"/>
      <c r="I108" s="184"/>
      <c r="J108" s="184"/>
      <c r="K108" s="184"/>
      <c r="L108" s="184"/>
      <c r="M108" s="185"/>
      <c r="N108" s="185"/>
      <c r="O108" s="186"/>
      <c r="P108" s="187"/>
      <c r="Q108" s="187"/>
      <c r="R108" s="188"/>
      <c r="S108" s="188"/>
      <c r="T108" s="185"/>
      <c r="U108" s="185"/>
      <c r="V108" s="189"/>
      <c r="W108" s="190"/>
      <c r="X108" s="191"/>
      <c r="Y108" s="186"/>
      <c r="Z108" s="192"/>
      <c r="AA108" s="97"/>
      <c r="AB108" s="193"/>
    </row>
    <row r="109" spans="1:28">
      <c r="A109" s="116"/>
      <c r="B109" s="116"/>
      <c r="C109" s="116"/>
      <c r="D109" s="3"/>
      <c r="E109" s="184"/>
      <c r="F109" s="184"/>
      <c r="G109" s="184"/>
      <c r="H109" s="184"/>
      <c r="I109" s="184"/>
      <c r="J109" s="184"/>
      <c r="K109" s="184"/>
      <c r="L109" s="184"/>
      <c r="M109" s="185"/>
      <c r="N109" s="185"/>
      <c r="O109" s="186"/>
      <c r="P109" s="187"/>
      <c r="Q109" s="187"/>
      <c r="R109" s="188"/>
      <c r="S109" s="188"/>
      <c r="T109" s="185"/>
      <c r="U109" s="185"/>
      <c r="V109" s="189"/>
      <c r="W109" s="190"/>
      <c r="X109" s="191"/>
      <c r="Y109" s="186"/>
      <c r="Z109" s="192"/>
      <c r="AA109" s="97"/>
      <c r="AB109" s="193"/>
    </row>
    <row r="110" spans="1:28">
      <c r="A110" s="116"/>
      <c r="B110" s="116"/>
      <c r="C110" s="116"/>
      <c r="D110" s="3"/>
      <c r="E110" s="184"/>
      <c r="F110" s="184"/>
      <c r="G110" s="184"/>
      <c r="H110" s="184"/>
      <c r="I110" s="184"/>
      <c r="J110" s="184"/>
      <c r="K110" s="184"/>
      <c r="L110" s="184"/>
      <c r="M110" s="185"/>
      <c r="N110" s="185"/>
      <c r="O110" s="186"/>
      <c r="P110" s="187"/>
      <c r="Q110" s="187"/>
      <c r="R110" s="188"/>
      <c r="S110" s="188"/>
      <c r="T110" s="185"/>
      <c r="U110" s="185"/>
      <c r="V110" s="189"/>
      <c r="W110" s="190"/>
      <c r="X110" s="191"/>
      <c r="Y110" s="186"/>
      <c r="Z110" s="192"/>
      <c r="AA110" s="97"/>
      <c r="AB110" s="193"/>
    </row>
    <row r="111" spans="1:28">
      <c r="A111" s="116"/>
      <c r="B111" s="116"/>
      <c r="C111" s="116"/>
      <c r="D111" s="3"/>
      <c r="E111" s="184"/>
      <c r="F111" s="184"/>
      <c r="G111" s="184"/>
      <c r="H111" s="184"/>
      <c r="I111" s="184"/>
      <c r="J111" s="184"/>
      <c r="K111" s="184"/>
      <c r="L111" s="184"/>
      <c r="M111" s="185"/>
      <c r="N111" s="185"/>
      <c r="O111" s="186"/>
      <c r="P111" s="187"/>
      <c r="Q111" s="187"/>
      <c r="R111" s="188"/>
      <c r="S111" s="188"/>
      <c r="T111" s="185"/>
      <c r="U111" s="185"/>
      <c r="V111" s="189"/>
      <c r="W111" s="190"/>
      <c r="X111" s="191"/>
      <c r="Y111" s="186"/>
      <c r="Z111" s="192"/>
      <c r="AA111" s="97"/>
      <c r="AB111" s="193"/>
    </row>
    <row r="112" spans="1:28">
      <c r="A112" s="116"/>
      <c r="B112" s="116"/>
      <c r="C112" s="116"/>
      <c r="D112" s="3"/>
      <c r="E112" s="184"/>
      <c r="F112" s="184"/>
      <c r="G112" s="184"/>
      <c r="H112" s="184"/>
      <c r="I112" s="184"/>
      <c r="J112" s="184"/>
      <c r="K112" s="184"/>
      <c r="L112" s="184"/>
      <c r="M112" s="185"/>
      <c r="N112" s="185"/>
      <c r="O112" s="186"/>
      <c r="P112" s="187"/>
      <c r="Q112" s="187"/>
      <c r="R112" s="188"/>
      <c r="S112" s="188"/>
      <c r="T112" s="185"/>
      <c r="U112" s="185"/>
      <c r="V112" s="189"/>
      <c r="W112" s="190"/>
      <c r="X112" s="191"/>
      <c r="Y112" s="186"/>
      <c r="Z112" s="192"/>
      <c r="AA112" s="97"/>
      <c r="AB112" s="193"/>
    </row>
    <row r="113" spans="1:28">
      <c r="A113" s="116"/>
      <c r="B113" s="116"/>
      <c r="C113" s="116"/>
      <c r="D113" s="3"/>
      <c r="E113" s="184"/>
      <c r="F113" s="184"/>
      <c r="G113" s="184"/>
      <c r="H113" s="184"/>
      <c r="I113" s="184"/>
      <c r="J113" s="184"/>
      <c r="K113" s="184"/>
      <c r="L113" s="184"/>
      <c r="M113" s="185"/>
      <c r="N113" s="185"/>
      <c r="O113" s="186"/>
      <c r="P113" s="187"/>
      <c r="Q113" s="187"/>
      <c r="R113" s="188"/>
      <c r="S113" s="188"/>
      <c r="T113" s="185"/>
      <c r="U113" s="185"/>
      <c r="V113" s="189"/>
      <c r="W113" s="190"/>
      <c r="X113" s="191"/>
      <c r="Y113" s="186"/>
      <c r="Z113" s="192"/>
      <c r="AA113" s="97"/>
      <c r="AB113" s="193"/>
    </row>
    <row r="114" spans="1:28">
      <c r="A114" s="116"/>
      <c r="B114" s="116"/>
      <c r="C114" s="116"/>
      <c r="D114" s="3"/>
      <c r="E114" s="184"/>
      <c r="F114" s="184"/>
      <c r="G114" s="184"/>
      <c r="H114" s="184"/>
      <c r="I114" s="184"/>
      <c r="J114" s="184"/>
      <c r="K114" s="184"/>
      <c r="L114" s="184"/>
      <c r="M114" s="185"/>
      <c r="N114" s="185"/>
      <c r="O114" s="186"/>
      <c r="P114" s="187"/>
      <c r="Q114" s="187"/>
      <c r="R114" s="188"/>
      <c r="S114" s="188"/>
      <c r="T114" s="185"/>
      <c r="U114" s="185"/>
      <c r="V114" s="189"/>
      <c r="W114" s="190"/>
      <c r="X114" s="191"/>
      <c r="Y114" s="186"/>
      <c r="Z114" s="192"/>
      <c r="AA114" s="97"/>
      <c r="AB114" s="193"/>
    </row>
    <row r="115" spans="1:28">
      <c r="A115" s="116"/>
      <c r="B115" s="116"/>
      <c r="C115" s="116"/>
      <c r="D115" s="3"/>
      <c r="E115" s="184"/>
      <c r="F115" s="184"/>
      <c r="G115" s="184"/>
      <c r="H115" s="184"/>
      <c r="I115" s="184"/>
      <c r="J115" s="184"/>
      <c r="K115" s="184"/>
      <c r="L115" s="184"/>
      <c r="M115" s="185"/>
      <c r="N115" s="185"/>
      <c r="O115" s="186"/>
      <c r="P115" s="187"/>
      <c r="Q115" s="187"/>
      <c r="R115" s="188"/>
      <c r="S115" s="188"/>
      <c r="T115" s="185"/>
      <c r="U115" s="185"/>
      <c r="V115" s="189"/>
      <c r="W115" s="190"/>
      <c r="X115" s="191"/>
      <c r="Y115" s="186"/>
      <c r="Z115" s="192"/>
      <c r="AA115" s="97"/>
      <c r="AB115" s="193"/>
    </row>
    <row r="116" spans="1:28">
      <c r="A116" s="116"/>
      <c r="B116" s="116"/>
      <c r="C116" s="116"/>
      <c r="D116" s="3"/>
      <c r="E116" s="184"/>
      <c r="F116" s="184"/>
      <c r="G116" s="184"/>
      <c r="H116" s="184"/>
      <c r="I116" s="184"/>
      <c r="J116" s="184"/>
      <c r="K116" s="184"/>
      <c r="L116" s="184"/>
      <c r="M116" s="185"/>
      <c r="N116" s="185"/>
      <c r="O116" s="186"/>
      <c r="P116" s="187"/>
      <c r="Q116" s="187"/>
      <c r="R116" s="188"/>
      <c r="S116" s="188"/>
      <c r="T116" s="185"/>
      <c r="U116" s="185"/>
      <c r="V116" s="189"/>
      <c r="W116" s="190"/>
      <c r="X116" s="191"/>
      <c r="Y116" s="186"/>
      <c r="Z116" s="192"/>
      <c r="AA116" s="97"/>
      <c r="AB116" s="193"/>
    </row>
    <row r="117" spans="1:28">
      <c r="A117" s="116"/>
      <c r="B117" s="116"/>
      <c r="C117" s="116"/>
      <c r="D117" s="3"/>
      <c r="E117" s="184"/>
      <c r="F117" s="184"/>
      <c r="G117" s="184"/>
      <c r="H117" s="184"/>
      <c r="I117" s="184"/>
      <c r="J117" s="184"/>
      <c r="K117" s="184"/>
      <c r="L117" s="184"/>
      <c r="M117" s="185"/>
      <c r="N117" s="185"/>
      <c r="O117" s="186"/>
      <c r="P117" s="187"/>
      <c r="Q117" s="187"/>
      <c r="R117" s="188"/>
      <c r="S117" s="188"/>
      <c r="T117" s="185"/>
      <c r="U117" s="185"/>
      <c r="V117" s="189"/>
      <c r="W117" s="190"/>
      <c r="X117" s="191"/>
      <c r="Y117" s="186"/>
      <c r="Z117" s="192"/>
      <c r="AA117" s="97"/>
      <c r="AB117" s="193"/>
    </row>
    <row r="118" spans="1:28">
      <c r="A118" s="116"/>
      <c r="B118" s="116"/>
      <c r="C118" s="116"/>
      <c r="D118" s="3"/>
      <c r="E118" s="184"/>
      <c r="F118" s="184"/>
      <c r="G118" s="184"/>
      <c r="H118" s="184"/>
      <c r="I118" s="184"/>
      <c r="J118" s="184"/>
      <c r="K118" s="184"/>
      <c r="L118" s="184"/>
      <c r="M118" s="185"/>
      <c r="N118" s="185"/>
      <c r="O118" s="186"/>
      <c r="P118" s="187"/>
      <c r="Q118" s="187"/>
      <c r="R118" s="188"/>
      <c r="S118" s="188"/>
      <c r="T118" s="185"/>
      <c r="U118" s="185"/>
      <c r="V118" s="189"/>
      <c r="W118" s="190"/>
      <c r="X118" s="191"/>
      <c r="Y118" s="186"/>
      <c r="Z118" s="192"/>
      <c r="AA118" s="97"/>
      <c r="AB118" s="193"/>
    </row>
    <row r="119" spans="1:28">
      <c r="A119" s="116"/>
      <c r="B119" s="116"/>
      <c r="C119" s="116"/>
      <c r="D119" s="3"/>
      <c r="E119" s="184"/>
      <c r="F119" s="184"/>
      <c r="G119" s="184"/>
      <c r="H119" s="184"/>
      <c r="I119" s="184"/>
      <c r="J119" s="184"/>
      <c r="K119" s="184"/>
      <c r="L119" s="184"/>
      <c r="M119" s="185"/>
      <c r="N119" s="185"/>
      <c r="O119" s="186"/>
      <c r="P119" s="187"/>
      <c r="Q119" s="187"/>
      <c r="R119" s="188"/>
      <c r="S119" s="188"/>
      <c r="T119" s="185"/>
      <c r="U119" s="185"/>
      <c r="V119" s="189"/>
      <c r="W119" s="190"/>
      <c r="X119" s="191"/>
      <c r="Y119" s="186"/>
      <c r="Z119" s="192"/>
      <c r="AA119" s="97"/>
      <c r="AB119" s="193"/>
    </row>
    <row r="120" spans="1:28">
      <c r="A120" s="116"/>
      <c r="B120" s="116"/>
      <c r="C120" s="116"/>
      <c r="D120" s="3"/>
      <c r="E120" s="184"/>
      <c r="F120" s="184"/>
      <c r="G120" s="184"/>
      <c r="H120" s="184"/>
      <c r="I120" s="184"/>
      <c r="J120" s="184"/>
      <c r="K120" s="184"/>
      <c r="L120" s="184"/>
      <c r="M120" s="185"/>
      <c r="N120" s="185"/>
      <c r="O120" s="186"/>
      <c r="P120" s="187"/>
      <c r="Q120" s="187"/>
      <c r="R120" s="188"/>
      <c r="S120" s="188"/>
      <c r="T120" s="185"/>
      <c r="U120" s="185"/>
      <c r="V120" s="189"/>
      <c r="W120" s="190"/>
      <c r="X120" s="191"/>
      <c r="Y120" s="186"/>
      <c r="Z120" s="192"/>
      <c r="AA120" s="97"/>
      <c r="AB120" s="193"/>
    </row>
    <row r="121" spans="1:28">
      <c r="A121" s="116"/>
      <c r="B121" s="116"/>
      <c r="C121" s="116"/>
      <c r="D121" s="3"/>
      <c r="E121" s="184"/>
      <c r="F121" s="184"/>
      <c r="G121" s="184"/>
      <c r="H121" s="184"/>
      <c r="I121" s="184"/>
      <c r="J121" s="184"/>
      <c r="K121" s="184"/>
      <c r="L121" s="184"/>
      <c r="M121" s="185"/>
      <c r="N121" s="185"/>
      <c r="O121" s="186"/>
      <c r="P121" s="187"/>
      <c r="Q121" s="187"/>
      <c r="R121" s="188"/>
      <c r="S121" s="188"/>
      <c r="T121" s="185"/>
      <c r="U121" s="185"/>
      <c r="V121" s="189"/>
      <c r="W121" s="190"/>
      <c r="X121" s="191"/>
      <c r="Y121" s="186"/>
      <c r="Z121" s="192"/>
      <c r="AA121" s="97"/>
      <c r="AB121" s="193"/>
    </row>
    <row r="122" spans="1:28">
      <c r="A122" s="116"/>
      <c r="B122" s="116"/>
      <c r="C122" s="116"/>
      <c r="D122" s="3"/>
      <c r="E122" s="184"/>
      <c r="F122" s="184"/>
      <c r="G122" s="184"/>
      <c r="H122" s="184"/>
      <c r="I122" s="184"/>
      <c r="J122" s="184"/>
      <c r="K122" s="184"/>
      <c r="L122" s="184"/>
      <c r="M122" s="185"/>
      <c r="N122" s="185"/>
      <c r="O122" s="186"/>
      <c r="P122" s="187"/>
      <c r="Q122" s="187"/>
      <c r="R122" s="188"/>
      <c r="S122" s="188"/>
      <c r="T122" s="185"/>
      <c r="U122" s="185"/>
      <c r="V122" s="189"/>
      <c r="W122" s="190"/>
      <c r="X122" s="191"/>
      <c r="Y122" s="186"/>
      <c r="Z122" s="192"/>
      <c r="AA122" s="97"/>
      <c r="AB122" s="193"/>
    </row>
    <row r="123" spans="1:28">
      <c r="A123" s="116"/>
      <c r="B123" s="116"/>
      <c r="C123" s="116"/>
      <c r="D123" s="3"/>
      <c r="E123" s="184"/>
      <c r="F123" s="184"/>
      <c r="G123" s="184"/>
      <c r="H123" s="184"/>
      <c r="I123" s="184"/>
      <c r="J123" s="184"/>
      <c r="K123" s="184"/>
      <c r="L123" s="184"/>
      <c r="M123" s="185"/>
      <c r="N123" s="185"/>
      <c r="O123" s="186"/>
      <c r="P123" s="187"/>
      <c r="Q123" s="187"/>
      <c r="R123" s="188"/>
      <c r="S123" s="188"/>
      <c r="T123" s="185"/>
      <c r="U123" s="185"/>
      <c r="V123" s="189"/>
      <c r="W123" s="190"/>
      <c r="X123" s="191"/>
      <c r="Y123" s="186"/>
      <c r="Z123" s="192"/>
      <c r="AA123" s="97"/>
      <c r="AB123" s="193"/>
    </row>
    <row r="124" spans="1:28">
      <c r="A124" s="116"/>
      <c r="B124" s="116"/>
      <c r="C124" s="116"/>
      <c r="D124" s="3"/>
      <c r="E124" s="184"/>
      <c r="F124" s="184"/>
      <c r="G124" s="184"/>
      <c r="H124" s="184"/>
      <c r="I124" s="184"/>
      <c r="J124" s="184"/>
      <c r="K124" s="184"/>
      <c r="L124" s="184"/>
      <c r="M124" s="185"/>
      <c r="N124" s="185"/>
      <c r="O124" s="186"/>
      <c r="P124" s="187"/>
      <c r="Q124" s="187"/>
      <c r="R124" s="188"/>
      <c r="S124" s="188"/>
      <c r="T124" s="185"/>
      <c r="U124" s="185"/>
      <c r="V124" s="189"/>
      <c r="W124" s="190"/>
      <c r="X124" s="191"/>
      <c r="Y124" s="186"/>
      <c r="Z124" s="192"/>
      <c r="AA124" s="97"/>
      <c r="AB124" s="193"/>
    </row>
    <row r="125" spans="1:28">
      <c r="A125" s="116"/>
      <c r="B125" s="116"/>
      <c r="C125" s="116"/>
      <c r="D125" s="3"/>
      <c r="E125" s="184"/>
      <c r="F125" s="184"/>
      <c r="G125" s="184"/>
      <c r="H125" s="184"/>
      <c r="I125" s="184"/>
      <c r="J125" s="184"/>
      <c r="K125" s="184"/>
      <c r="L125" s="184"/>
      <c r="M125" s="185"/>
      <c r="N125" s="185"/>
      <c r="O125" s="186"/>
      <c r="P125" s="187"/>
      <c r="Q125" s="187"/>
      <c r="R125" s="188"/>
      <c r="S125" s="188"/>
      <c r="T125" s="185"/>
      <c r="U125" s="185"/>
      <c r="V125" s="189"/>
      <c r="W125" s="190"/>
      <c r="X125" s="191"/>
      <c r="Y125" s="186"/>
      <c r="Z125" s="192"/>
      <c r="AA125" s="97"/>
      <c r="AB125" s="193"/>
    </row>
    <row r="126" spans="1:28">
      <c r="A126" s="116"/>
      <c r="B126" s="116"/>
      <c r="C126" s="116"/>
      <c r="D126" s="3"/>
      <c r="E126" s="184"/>
      <c r="F126" s="184"/>
      <c r="G126" s="184"/>
      <c r="H126" s="184"/>
      <c r="I126" s="184"/>
      <c r="J126" s="184"/>
      <c r="K126" s="184"/>
      <c r="L126" s="184"/>
      <c r="M126" s="185"/>
      <c r="N126" s="185"/>
      <c r="O126" s="186"/>
      <c r="P126" s="187"/>
      <c r="Q126" s="187"/>
      <c r="R126" s="188"/>
      <c r="S126" s="188"/>
      <c r="T126" s="185"/>
      <c r="U126" s="185"/>
      <c r="V126" s="189"/>
      <c r="W126" s="190"/>
      <c r="X126" s="191"/>
      <c r="Y126" s="186"/>
      <c r="Z126" s="192"/>
      <c r="AA126" s="97"/>
      <c r="AB126" s="193"/>
    </row>
    <row r="127" spans="1:28">
      <c r="A127" s="116"/>
      <c r="B127" s="116"/>
      <c r="C127" s="116"/>
      <c r="D127" s="3"/>
      <c r="E127" s="184"/>
      <c r="F127" s="184"/>
      <c r="G127" s="184"/>
      <c r="H127" s="184"/>
      <c r="I127" s="184"/>
      <c r="J127" s="184"/>
      <c r="K127" s="184"/>
      <c r="L127" s="184"/>
      <c r="M127" s="185"/>
      <c r="N127" s="185"/>
      <c r="O127" s="186"/>
      <c r="P127" s="187"/>
      <c r="Q127" s="187"/>
      <c r="R127" s="188"/>
      <c r="S127" s="188"/>
      <c r="T127" s="185"/>
      <c r="U127" s="185"/>
      <c r="V127" s="189"/>
      <c r="W127" s="190"/>
      <c r="X127" s="191"/>
      <c r="Y127" s="186"/>
      <c r="Z127" s="192"/>
      <c r="AA127" s="97"/>
      <c r="AB127" s="193"/>
    </row>
    <row r="128" spans="1:28">
      <c r="A128" s="116"/>
      <c r="B128" s="116"/>
      <c r="C128" s="116"/>
      <c r="D128" s="3"/>
      <c r="E128" s="184"/>
      <c r="F128" s="184"/>
      <c r="G128" s="184"/>
      <c r="H128" s="184"/>
      <c r="I128" s="184"/>
      <c r="J128" s="184"/>
      <c r="K128" s="184"/>
      <c r="L128" s="184"/>
      <c r="M128" s="185"/>
      <c r="N128" s="185"/>
      <c r="O128" s="186"/>
      <c r="P128" s="187"/>
      <c r="Q128" s="187"/>
      <c r="R128" s="188"/>
      <c r="S128" s="188"/>
      <c r="T128" s="185"/>
      <c r="U128" s="185"/>
      <c r="V128" s="189"/>
      <c r="W128" s="190"/>
      <c r="X128" s="191"/>
      <c r="Y128" s="186"/>
      <c r="Z128" s="192"/>
      <c r="AA128" s="97"/>
      <c r="AB128" s="193"/>
    </row>
    <row r="129" spans="1:28">
      <c r="A129" s="116"/>
      <c r="B129" s="116"/>
      <c r="C129" s="116"/>
      <c r="D129" s="3"/>
      <c r="E129" s="184"/>
      <c r="F129" s="184"/>
      <c r="G129" s="184"/>
      <c r="H129" s="184"/>
      <c r="I129" s="184"/>
      <c r="J129" s="184"/>
      <c r="K129" s="184"/>
      <c r="L129" s="184"/>
      <c r="M129" s="185"/>
      <c r="N129" s="185"/>
      <c r="O129" s="186"/>
      <c r="P129" s="187"/>
      <c r="Q129" s="187"/>
      <c r="R129" s="188"/>
      <c r="S129" s="188"/>
      <c r="T129" s="185"/>
      <c r="U129" s="185"/>
      <c r="V129" s="189"/>
      <c r="W129" s="190"/>
      <c r="X129" s="191"/>
      <c r="Y129" s="186"/>
      <c r="Z129" s="192"/>
      <c r="AA129" s="97"/>
      <c r="AB129" s="193"/>
    </row>
    <row r="130" spans="1:28">
      <c r="A130" s="116"/>
      <c r="B130" s="116"/>
      <c r="C130" s="116"/>
      <c r="D130" s="3"/>
      <c r="E130" s="184"/>
      <c r="F130" s="184"/>
      <c r="G130" s="184"/>
      <c r="H130" s="184"/>
      <c r="I130" s="184"/>
      <c r="J130" s="184"/>
      <c r="K130" s="184"/>
      <c r="L130" s="184"/>
      <c r="M130" s="185"/>
      <c r="N130" s="185"/>
      <c r="O130" s="186"/>
      <c r="P130" s="187"/>
      <c r="Q130" s="187"/>
      <c r="R130" s="188"/>
      <c r="S130" s="188"/>
      <c r="T130" s="185"/>
      <c r="U130" s="185"/>
      <c r="V130" s="189"/>
      <c r="W130" s="190"/>
      <c r="X130" s="191"/>
      <c r="Y130" s="186"/>
      <c r="Z130" s="192"/>
      <c r="AA130" s="97"/>
      <c r="AB130" s="193"/>
    </row>
    <row r="131" spans="1:28">
      <c r="A131" s="116"/>
      <c r="B131" s="116"/>
      <c r="C131" s="116"/>
      <c r="D131" s="3"/>
      <c r="E131" s="184"/>
      <c r="F131" s="184"/>
      <c r="G131" s="184"/>
      <c r="H131" s="184"/>
      <c r="I131" s="184"/>
      <c r="J131" s="184"/>
      <c r="K131" s="184"/>
      <c r="L131" s="184"/>
      <c r="M131" s="185"/>
      <c r="N131" s="185"/>
      <c r="O131" s="186"/>
      <c r="P131" s="187"/>
      <c r="Q131" s="187"/>
      <c r="R131" s="188"/>
      <c r="S131" s="188"/>
      <c r="T131" s="185"/>
      <c r="U131" s="185"/>
      <c r="V131" s="189"/>
      <c r="W131" s="190"/>
      <c r="X131" s="191"/>
      <c r="Y131" s="186"/>
      <c r="Z131" s="192"/>
      <c r="AA131" s="97"/>
      <c r="AB131" s="193"/>
    </row>
    <row r="132" spans="1:28">
      <c r="A132" s="116"/>
      <c r="B132" s="116"/>
      <c r="C132" s="116"/>
      <c r="D132" s="3"/>
      <c r="E132" s="184"/>
      <c r="F132" s="184"/>
      <c r="G132" s="184"/>
      <c r="H132" s="184"/>
      <c r="I132" s="184"/>
      <c r="J132" s="184"/>
      <c r="K132" s="184"/>
      <c r="L132" s="184"/>
      <c r="M132" s="185"/>
      <c r="N132" s="185"/>
      <c r="O132" s="186"/>
      <c r="P132" s="187"/>
      <c r="Q132" s="187"/>
      <c r="R132" s="188"/>
      <c r="S132" s="188"/>
      <c r="T132" s="185"/>
      <c r="U132" s="185"/>
      <c r="V132" s="189"/>
      <c r="W132" s="190"/>
      <c r="X132" s="191"/>
      <c r="Y132" s="186"/>
      <c r="Z132" s="192"/>
      <c r="AA132" s="97"/>
      <c r="AB132" s="193"/>
    </row>
    <row r="133" spans="1:28">
      <c r="A133" s="116"/>
      <c r="B133" s="116"/>
      <c r="C133" s="116"/>
      <c r="D133" s="3"/>
      <c r="E133" s="184"/>
      <c r="F133" s="184"/>
      <c r="G133" s="184"/>
      <c r="H133" s="184"/>
      <c r="I133" s="184"/>
      <c r="J133" s="184"/>
      <c r="K133" s="184"/>
      <c r="L133" s="184"/>
      <c r="M133" s="185"/>
      <c r="N133" s="185"/>
      <c r="O133" s="186"/>
      <c r="P133" s="187"/>
      <c r="Q133" s="187"/>
      <c r="R133" s="188"/>
      <c r="S133" s="188"/>
      <c r="T133" s="185"/>
      <c r="U133" s="185"/>
      <c r="V133" s="189"/>
      <c r="W133" s="190"/>
      <c r="X133" s="191"/>
      <c r="Y133" s="186"/>
      <c r="Z133" s="192"/>
      <c r="AA133" s="97"/>
      <c r="AB133" s="193"/>
    </row>
    <row r="134" spans="1:28">
      <c r="A134" s="116"/>
      <c r="B134" s="116"/>
      <c r="C134" s="116"/>
      <c r="D134" s="3"/>
      <c r="E134" s="184"/>
      <c r="F134" s="184"/>
      <c r="G134" s="184"/>
      <c r="H134" s="184"/>
      <c r="I134" s="184"/>
      <c r="J134" s="184"/>
      <c r="K134" s="184"/>
      <c r="L134" s="184"/>
      <c r="M134" s="185"/>
      <c r="N134" s="185"/>
      <c r="O134" s="186"/>
      <c r="P134" s="187"/>
      <c r="Q134" s="187"/>
      <c r="R134" s="188"/>
      <c r="S134" s="188"/>
      <c r="T134" s="185"/>
      <c r="U134" s="185"/>
      <c r="V134" s="189"/>
      <c r="W134" s="190"/>
      <c r="X134" s="191"/>
      <c r="Y134" s="186"/>
      <c r="Z134" s="192"/>
      <c r="AA134" s="97"/>
      <c r="AB134" s="193"/>
    </row>
    <row r="135" spans="1:28">
      <c r="A135" s="116"/>
      <c r="B135" s="116"/>
      <c r="C135" s="116"/>
      <c r="D135" s="3"/>
      <c r="E135" s="184"/>
      <c r="F135" s="184"/>
      <c r="G135" s="184"/>
      <c r="H135" s="184"/>
      <c r="I135" s="184"/>
      <c r="J135" s="184"/>
      <c r="K135" s="184"/>
      <c r="L135" s="184"/>
      <c r="M135" s="185"/>
      <c r="N135" s="185"/>
      <c r="O135" s="186"/>
      <c r="P135" s="187"/>
      <c r="Q135" s="187"/>
      <c r="R135" s="188"/>
      <c r="S135" s="188"/>
      <c r="T135" s="185"/>
      <c r="U135" s="185"/>
      <c r="V135" s="189"/>
      <c r="W135" s="190"/>
      <c r="X135" s="191"/>
      <c r="Y135" s="186"/>
      <c r="Z135" s="192"/>
      <c r="AA135" s="97"/>
      <c r="AB135" s="193"/>
    </row>
    <row r="136" spans="1:28">
      <c r="A136" s="116"/>
      <c r="B136" s="116"/>
      <c r="C136" s="116"/>
      <c r="D136" s="3"/>
      <c r="E136" s="184"/>
      <c r="F136" s="184"/>
      <c r="G136" s="184"/>
      <c r="H136" s="184"/>
      <c r="I136" s="184"/>
      <c r="J136" s="184"/>
      <c r="K136" s="184"/>
      <c r="L136" s="184"/>
      <c r="M136" s="185"/>
      <c r="N136" s="185"/>
      <c r="O136" s="186"/>
      <c r="P136" s="187"/>
      <c r="Q136" s="187"/>
      <c r="R136" s="188"/>
      <c r="S136" s="188"/>
      <c r="T136" s="185"/>
      <c r="U136" s="185"/>
      <c r="V136" s="189"/>
      <c r="W136" s="190"/>
      <c r="X136" s="191"/>
      <c r="Y136" s="186"/>
      <c r="Z136" s="192"/>
      <c r="AA136" s="97"/>
      <c r="AB136" s="193"/>
    </row>
    <row r="137" spans="1:28">
      <c r="A137" s="116"/>
      <c r="B137" s="116"/>
      <c r="C137" s="116"/>
      <c r="D137" s="3"/>
      <c r="E137" s="184"/>
      <c r="F137" s="184"/>
      <c r="G137" s="184"/>
      <c r="H137" s="184"/>
      <c r="I137" s="184"/>
      <c r="J137" s="184"/>
      <c r="K137" s="184"/>
      <c r="L137" s="184"/>
      <c r="M137" s="185"/>
      <c r="N137" s="185"/>
      <c r="O137" s="186"/>
      <c r="P137" s="187"/>
      <c r="Q137" s="187"/>
      <c r="R137" s="188"/>
      <c r="S137" s="188"/>
      <c r="T137" s="185"/>
      <c r="U137" s="185"/>
      <c r="V137" s="189"/>
      <c r="W137" s="190"/>
      <c r="X137" s="191"/>
      <c r="Y137" s="186"/>
      <c r="Z137" s="192"/>
      <c r="AA137" s="97"/>
      <c r="AB137" s="193"/>
    </row>
    <row r="138" spans="1:28">
      <c r="A138" s="116"/>
      <c r="B138" s="116"/>
      <c r="C138" s="116"/>
      <c r="D138" s="3"/>
      <c r="E138" s="184"/>
      <c r="F138" s="184"/>
      <c r="G138" s="184"/>
      <c r="H138" s="184"/>
      <c r="I138" s="184"/>
      <c r="J138" s="184"/>
      <c r="K138" s="184"/>
      <c r="L138" s="184"/>
      <c r="M138" s="185"/>
      <c r="N138" s="185"/>
      <c r="O138" s="186"/>
      <c r="P138" s="187"/>
      <c r="Q138" s="187"/>
      <c r="R138" s="188"/>
      <c r="S138" s="188"/>
      <c r="T138" s="185"/>
      <c r="U138" s="185"/>
      <c r="V138" s="189"/>
      <c r="W138" s="190"/>
      <c r="X138" s="191"/>
      <c r="Y138" s="186"/>
      <c r="Z138" s="192"/>
      <c r="AA138" s="97"/>
      <c r="AB138" s="193"/>
    </row>
    <row r="139" spans="1:28">
      <c r="A139" s="116"/>
      <c r="B139" s="116"/>
      <c r="C139" s="116"/>
      <c r="D139" s="3"/>
      <c r="E139" s="184"/>
      <c r="F139" s="184"/>
      <c r="G139" s="184"/>
      <c r="H139" s="184"/>
      <c r="I139" s="184"/>
      <c r="J139" s="184"/>
      <c r="K139" s="184"/>
      <c r="L139" s="184"/>
      <c r="M139" s="185"/>
      <c r="N139" s="185"/>
      <c r="O139" s="186"/>
      <c r="P139" s="187"/>
      <c r="Q139" s="187"/>
      <c r="R139" s="188"/>
      <c r="S139" s="188"/>
      <c r="T139" s="185"/>
      <c r="U139" s="185"/>
      <c r="V139" s="189"/>
      <c r="W139" s="190"/>
      <c r="X139" s="191"/>
      <c r="Y139" s="186"/>
      <c r="Z139" s="192"/>
      <c r="AA139" s="97"/>
      <c r="AB139" s="193"/>
    </row>
    <row r="140" spans="1:28">
      <c r="A140" s="116"/>
      <c r="B140" s="116"/>
      <c r="C140" s="116"/>
      <c r="D140" s="3"/>
      <c r="E140" s="184"/>
      <c r="F140" s="184"/>
      <c r="G140" s="184"/>
      <c r="H140" s="184"/>
      <c r="I140" s="184"/>
      <c r="J140" s="184"/>
      <c r="K140" s="184"/>
      <c r="L140" s="184"/>
      <c r="M140" s="185"/>
      <c r="N140" s="185"/>
      <c r="O140" s="186"/>
      <c r="P140" s="187"/>
      <c r="Q140" s="187"/>
      <c r="R140" s="188"/>
      <c r="S140" s="188"/>
      <c r="T140" s="185"/>
      <c r="U140" s="185"/>
      <c r="V140" s="189"/>
      <c r="W140" s="190"/>
      <c r="X140" s="191"/>
      <c r="Y140" s="186"/>
      <c r="Z140" s="192"/>
      <c r="AA140" s="97"/>
      <c r="AB140" s="193"/>
    </row>
    <row r="141" spans="1:28">
      <c r="A141" s="116"/>
      <c r="B141" s="116"/>
      <c r="C141" s="116"/>
      <c r="D141" s="3"/>
      <c r="E141" s="184"/>
      <c r="F141" s="184"/>
      <c r="G141" s="184"/>
      <c r="H141" s="184"/>
      <c r="I141" s="184"/>
      <c r="J141" s="184"/>
      <c r="K141" s="184"/>
      <c r="L141" s="184"/>
      <c r="M141" s="185"/>
      <c r="N141" s="185"/>
      <c r="O141" s="186"/>
      <c r="P141" s="187"/>
      <c r="Q141" s="187"/>
      <c r="R141" s="188"/>
      <c r="S141" s="188"/>
      <c r="T141" s="185"/>
      <c r="U141" s="185"/>
      <c r="V141" s="189"/>
      <c r="W141" s="190"/>
      <c r="X141" s="191"/>
      <c r="Y141" s="186"/>
      <c r="Z141" s="192"/>
      <c r="AA141" s="97"/>
      <c r="AB141" s="193"/>
    </row>
    <row r="142" spans="1:28">
      <c r="A142" s="116"/>
      <c r="B142" s="116"/>
      <c r="C142" s="116"/>
      <c r="D142" s="3"/>
      <c r="E142" s="184"/>
      <c r="F142" s="184"/>
      <c r="G142" s="184"/>
      <c r="H142" s="184"/>
      <c r="I142" s="184"/>
      <c r="J142" s="184"/>
      <c r="K142" s="184"/>
      <c r="L142" s="184"/>
      <c r="M142" s="185"/>
      <c r="N142" s="185"/>
      <c r="O142" s="186"/>
      <c r="P142" s="187"/>
      <c r="Q142" s="187"/>
      <c r="R142" s="188"/>
      <c r="S142" s="188"/>
      <c r="T142" s="185"/>
      <c r="U142" s="185"/>
      <c r="V142" s="189"/>
      <c r="W142" s="190"/>
      <c r="X142" s="191"/>
      <c r="Y142" s="186"/>
      <c r="Z142" s="192"/>
      <c r="AA142" s="97"/>
      <c r="AB142" s="193"/>
    </row>
    <row r="143" spans="1:28">
      <c r="A143" s="116"/>
      <c r="B143" s="116"/>
      <c r="C143" s="116"/>
      <c r="D143" s="3"/>
      <c r="E143" s="184"/>
      <c r="F143" s="184"/>
      <c r="G143" s="184"/>
      <c r="H143" s="184"/>
      <c r="I143" s="184"/>
      <c r="J143" s="184"/>
      <c r="K143" s="184"/>
      <c r="L143" s="184"/>
      <c r="M143" s="185"/>
      <c r="N143" s="185"/>
      <c r="O143" s="186"/>
      <c r="P143" s="187"/>
      <c r="Q143" s="187"/>
      <c r="R143" s="188"/>
      <c r="S143" s="188"/>
      <c r="T143" s="185"/>
      <c r="U143" s="185"/>
      <c r="V143" s="189"/>
      <c r="W143" s="190"/>
      <c r="X143" s="191"/>
      <c r="Y143" s="186"/>
      <c r="Z143" s="192"/>
      <c r="AA143" s="97"/>
      <c r="AB143" s="193"/>
    </row>
    <row r="144" spans="1:28">
      <c r="A144" s="116"/>
      <c r="B144" s="116"/>
      <c r="C144" s="116"/>
      <c r="D144" s="3"/>
      <c r="E144" s="184"/>
      <c r="F144" s="184"/>
      <c r="G144" s="184"/>
      <c r="H144" s="184"/>
      <c r="I144" s="184"/>
      <c r="J144" s="184"/>
      <c r="K144" s="184"/>
      <c r="L144" s="184"/>
      <c r="M144" s="185"/>
      <c r="N144" s="185"/>
      <c r="O144" s="186"/>
      <c r="P144" s="187"/>
      <c r="Q144" s="187"/>
      <c r="R144" s="188"/>
      <c r="S144" s="188"/>
      <c r="T144" s="185"/>
      <c r="U144" s="185"/>
      <c r="V144" s="189"/>
      <c r="W144" s="190"/>
      <c r="X144" s="191"/>
      <c r="Y144" s="186"/>
      <c r="Z144" s="192"/>
      <c r="AA144" s="97"/>
      <c r="AB144" s="193"/>
    </row>
    <row r="145" spans="1:28">
      <c r="A145" s="116"/>
      <c r="B145" s="116"/>
      <c r="C145" s="116"/>
      <c r="D145" s="3"/>
      <c r="E145" s="184"/>
      <c r="F145" s="184"/>
      <c r="G145" s="184"/>
      <c r="H145" s="184"/>
      <c r="I145" s="184"/>
      <c r="J145" s="184"/>
      <c r="K145" s="184"/>
      <c r="L145" s="184"/>
      <c r="M145" s="185"/>
      <c r="N145" s="185"/>
      <c r="O145" s="186"/>
      <c r="P145" s="187"/>
      <c r="Q145" s="187"/>
      <c r="R145" s="188"/>
      <c r="S145" s="188"/>
      <c r="T145" s="185"/>
      <c r="U145" s="185"/>
      <c r="V145" s="189"/>
      <c r="W145" s="190"/>
      <c r="X145" s="191"/>
      <c r="Y145" s="186"/>
      <c r="Z145" s="192"/>
      <c r="AA145" s="97"/>
      <c r="AB145" s="193"/>
    </row>
    <row r="146" spans="1:28">
      <c r="A146" s="169"/>
      <c r="B146" s="169"/>
      <c r="C146" s="169"/>
      <c r="D146" s="170"/>
      <c r="E146" s="171"/>
      <c r="F146" s="171"/>
      <c r="G146" s="171"/>
      <c r="H146" s="171"/>
      <c r="I146" s="171"/>
      <c r="J146" s="171"/>
      <c r="K146" s="171"/>
      <c r="L146" s="171"/>
      <c r="M146" s="172"/>
      <c r="N146" s="172"/>
      <c r="O146" s="173"/>
      <c r="P146" s="174"/>
      <c r="Q146" s="174"/>
      <c r="R146" s="175"/>
      <c r="S146" s="175"/>
      <c r="T146" s="172"/>
      <c r="U146" s="172"/>
      <c r="V146" s="176"/>
      <c r="W146" s="177"/>
      <c r="X146" s="178"/>
      <c r="Y146" s="173"/>
      <c r="Z146" s="179"/>
      <c r="AA146" s="180"/>
      <c r="AB146" s="181"/>
    </row>
  </sheetData>
  <sheetProtection formatCells="0" formatColumns="0" formatRows="0" insertColumns="0" insertRows="0" insertHyperlinks="0" deleteColumns="0" deleteRows="0" sort="0" autoFilter="0" pivotTables="0"/>
  <dataConsolidate/>
  <mergeCells count="29">
    <mergeCell ref="AB3:AB4"/>
    <mergeCell ref="T3:T4"/>
    <mergeCell ref="U3:U4"/>
    <mergeCell ref="V3:V4"/>
    <mergeCell ref="W3:W4"/>
    <mergeCell ref="X3:X4"/>
    <mergeCell ref="AA3:AA4"/>
    <mergeCell ref="D2:F2"/>
    <mergeCell ref="L3:L4"/>
    <mergeCell ref="M3:M4"/>
    <mergeCell ref="N3:N4"/>
    <mergeCell ref="Z3:Z4"/>
    <mergeCell ref="O3:O4"/>
    <mergeCell ref="P3:P4"/>
    <mergeCell ref="Q3:Q4"/>
    <mergeCell ref="R3:R4"/>
    <mergeCell ref="S3:S4"/>
    <mergeCell ref="Y3:Y4"/>
    <mergeCell ref="A3:A4"/>
    <mergeCell ref="B3:B4"/>
    <mergeCell ref="C3:C4"/>
    <mergeCell ref="D3:D4"/>
    <mergeCell ref="E3:K4"/>
    <mergeCell ref="AC3:AF3"/>
    <mergeCell ref="AC1:CA1"/>
    <mergeCell ref="AG3:AJ3"/>
    <mergeCell ref="AK3:AN3"/>
    <mergeCell ref="AO3:AR3"/>
    <mergeCell ref="AS3:AV3"/>
  </mergeCells>
  <phoneticPr fontId="8" type="noConversion"/>
  <conditionalFormatting sqref="D5:AB86">
    <cfRule type="expression" dxfId="1" priority="2">
      <formula>($B5="G")</formula>
    </cfRule>
    <cfRule type="expression" dxfId="0" priority="1">
      <formula>($AB5=1)</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997</v>
      </c>
      <c r="B1" s="18"/>
      <c r="C1" s="18"/>
      <c r="D1" s="18"/>
      <c r="E1" s="18"/>
      <c r="F1" s="18"/>
      <c r="G1" s="18"/>
      <c r="H1" s="18"/>
      <c r="I1" s="18"/>
      <c r="J1" s="18"/>
      <c r="K1" s="18"/>
      <c r="L1" s="241"/>
      <c r="M1" s="242"/>
      <c r="N1" s="242"/>
      <c r="O1" s="19"/>
      <c r="P1" s="19"/>
      <c r="Q1" s="19"/>
    </row>
    <row r="2" spans="1:17" s="23" customFormat="1" ht="13.8">
      <c r="A2" s="21" t="s">
        <v>984</v>
      </c>
      <c r="B2" s="22"/>
    </row>
    <row r="3" spans="1:17" s="23" customFormat="1" ht="13.8">
      <c r="A3" s="21" t="s">
        <v>985</v>
      </c>
      <c r="B3" s="22"/>
    </row>
    <row r="4" spans="1:17" s="23" customFormat="1" ht="13.8">
      <c r="A4" s="243"/>
      <c r="B4" s="243"/>
      <c r="C4" s="24"/>
      <c r="D4" s="25"/>
      <c r="E4" s="25"/>
      <c r="F4" s="25"/>
    </row>
    <row r="5" spans="1:17" s="31" customFormat="1" ht="13.8">
      <c r="A5" s="26"/>
      <c r="B5" s="27"/>
      <c r="C5" s="28"/>
      <c r="D5" s="29"/>
      <c r="E5" s="30"/>
      <c r="F5" s="30"/>
      <c r="G5" s="30"/>
    </row>
    <row r="6" spans="1:17" s="31" customFormat="1" ht="13.8">
      <c r="A6" s="32" t="s">
        <v>986</v>
      </c>
      <c r="B6" s="33">
        <v>263</v>
      </c>
      <c r="C6" s="31" t="s">
        <v>0</v>
      </c>
      <c r="D6" s="240" t="s">
        <v>987</v>
      </c>
      <c r="E6" s="240"/>
      <c r="F6" s="240"/>
      <c r="G6" s="240"/>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988</v>
      </c>
      <c r="B9" s="33">
        <v>64</v>
      </c>
      <c r="C9" s="31" t="s">
        <v>0</v>
      </c>
      <c r="D9" s="239" t="s">
        <v>989</v>
      </c>
      <c r="E9" s="239"/>
      <c r="F9" s="239"/>
      <c r="G9" s="239"/>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983</v>
      </c>
      <c r="B12" s="33">
        <v>52.5</v>
      </c>
      <c r="C12" s="31" t="s">
        <v>0</v>
      </c>
      <c r="D12" s="239" t="s">
        <v>1021</v>
      </c>
      <c r="E12" s="239"/>
      <c r="F12" s="239"/>
      <c r="G12" s="239"/>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983</v>
      </c>
      <c r="B15" s="33"/>
      <c r="C15" s="31" t="s">
        <v>0</v>
      </c>
      <c r="D15" s="239" t="s">
        <v>990</v>
      </c>
      <c r="E15" s="239"/>
      <c r="F15" s="239"/>
      <c r="G15" s="239"/>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991</v>
      </c>
      <c r="B18" s="55">
        <v>0.24334600760456274</v>
      </c>
      <c r="D18" s="239" t="s">
        <v>992</v>
      </c>
      <c r="E18" s="239"/>
      <c r="F18" s="239"/>
      <c r="G18" s="239"/>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993</v>
      </c>
      <c r="B21" s="55">
        <v>0.19961977186311788</v>
      </c>
      <c r="D21" s="239" t="s">
        <v>994</v>
      </c>
      <c r="E21" s="239"/>
      <c r="F21" s="239"/>
      <c r="G21" s="239"/>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995</v>
      </c>
      <c r="B24" s="65">
        <f>ACTUAL_RATE-PLANNED_RATE</f>
        <v>-4.3726235741444852E-2</v>
      </c>
      <c r="D24" s="240" t="s">
        <v>996</v>
      </c>
      <c r="E24" s="240"/>
      <c r="F24" s="240"/>
      <c r="G24" s="240"/>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8"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P13"/>
  <sheetViews>
    <sheetView showGridLines="0" zoomScale="80" zoomScaleNormal="80" workbookViewId="0">
      <pane ySplit="1" topLeftCell="A2" activePane="bottomLeft" state="frozen"/>
      <selection pane="bottomLeft"/>
    </sheetView>
  </sheetViews>
  <sheetFormatPr defaultColWidth="9.09765625" defaultRowHeight="14.4"/>
  <cols>
    <col min="1" max="1" width="1.69921875" style="208" customWidth="1"/>
    <col min="2" max="2" width="9.09765625" style="208"/>
    <col min="3" max="3" width="9.796875" style="208" bestFit="1" customWidth="1"/>
    <col min="4" max="5" width="9.09765625" style="208"/>
    <col min="6" max="6" width="10.69921875" style="208" customWidth="1"/>
    <col min="7" max="16384" width="9.09765625" style="208"/>
  </cols>
  <sheetData>
    <row r="1" spans="2:16" ht="37.049999999999997" customHeight="1">
      <c r="B1" s="78" t="s">
        <v>1178</v>
      </c>
    </row>
    <row r="2" spans="2:16">
      <c r="B2" s="208" t="s">
        <v>1179</v>
      </c>
    </row>
    <row r="3" spans="2:16">
      <c r="B3" s="208" t="s">
        <v>1180</v>
      </c>
    </row>
    <row r="4" spans="2:16">
      <c r="B4" s="246">
        <v>21</v>
      </c>
      <c r="C4" s="208" t="s">
        <v>1176</v>
      </c>
    </row>
    <row r="6" spans="2:16" ht="28.8">
      <c r="B6" s="79" t="s">
        <v>1065</v>
      </c>
      <c r="C6" s="183" t="s">
        <v>998</v>
      </c>
      <c r="D6" s="183" t="s">
        <v>999</v>
      </c>
      <c r="E6" s="183" t="s">
        <v>1181</v>
      </c>
      <c r="F6" s="183" t="s">
        <v>1182</v>
      </c>
      <c r="G6" s="254" t="s">
        <v>1177</v>
      </c>
      <c r="H6" s="254"/>
      <c r="I6" s="254"/>
      <c r="J6" s="254"/>
      <c r="K6" s="254"/>
      <c r="L6" s="254"/>
      <c r="M6" s="254"/>
      <c r="N6" s="254"/>
      <c r="O6" s="254"/>
      <c r="P6" s="247"/>
    </row>
    <row r="7" spans="2:16">
      <c r="B7" s="248" t="s">
        <v>1166</v>
      </c>
      <c r="C7" s="256">
        <v>43521</v>
      </c>
      <c r="D7" s="256">
        <v>43637</v>
      </c>
      <c r="E7" s="257">
        <v>95</v>
      </c>
      <c r="F7" s="257">
        <f>E7/$B$4</f>
        <v>4.5238095238095237</v>
      </c>
      <c r="G7" s="250" t="str">
        <f t="shared" ref="G7:G12" si="0">REPT("|",IF(E7&gt;0,IF(E7/1&lt;1,1,E7/1)))</f>
        <v>|||||||||||||||||||||||||||||||||||||||||||||||||||||||||||||||||||||||||||||||||||||||||||||||</v>
      </c>
      <c r="H7" s="249"/>
      <c r="I7" s="249"/>
      <c r="J7" s="249"/>
      <c r="K7" s="249"/>
      <c r="L7" s="249"/>
      <c r="M7" s="249"/>
      <c r="N7" s="249"/>
      <c r="O7" s="249"/>
      <c r="P7" s="249"/>
    </row>
    <row r="8" spans="2:16">
      <c r="B8" s="251" t="s">
        <v>1172</v>
      </c>
      <c r="C8" s="258">
        <v>43524</v>
      </c>
      <c r="D8" s="258">
        <v>43565</v>
      </c>
      <c r="E8" s="259">
        <v>43.5</v>
      </c>
      <c r="F8" s="259">
        <f t="shared" ref="F8:F12" si="1">E8/$B$4</f>
        <v>2.0714285714285716</v>
      </c>
      <c r="G8" s="253" t="str">
        <f t="shared" si="0"/>
        <v>|||||||||||||||||||||||||||||||||||||||||||</v>
      </c>
      <c r="H8" s="252"/>
      <c r="I8" s="252"/>
      <c r="J8" s="252"/>
      <c r="K8" s="252"/>
      <c r="L8" s="252"/>
      <c r="M8" s="252"/>
      <c r="N8" s="252"/>
      <c r="O8" s="252"/>
      <c r="P8" s="252"/>
    </row>
    <row r="9" spans="2:16">
      <c r="B9" s="251" t="s">
        <v>1100</v>
      </c>
      <c r="C9" s="258">
        <v>43535</v>
      </c>
      <c r="D9" s="258">
        <v>43560</v>
      </c>
      <c r="E9" s="259">
        <v>42.5</v>
      </c>
      <c r="F9" s="259">
        <f t="shared" si="1"/>
        <v>2.0238095238095237</v>
      </c>
      <c r="G9" s="253" t="str">
        <f t="shared" si="0"/>
        <v>||||||||||||||||||||||||||||||||||||||||||</v>
      </c>
      <c r="H9" s="252"/>
      <c r="I9" s="252"/>
      <c r="J9" s="252"/>
      <c r="K9" s="252"/>
      <c r="L9" s="252"/>
      <c r="M9" s="252"/>
      <c r="N9" s="252"/>
      <c r="O9" s="252"/>
      <c r="P9" s="252"/>
    </row>
    <row r="10" spans="2:16">
      <c r="B10" s="251" t="s">
        <v>1106</v>
      </c>
      <c r="C10" s="258">
        <v>43535</v>
      </c>
      <c r="D10" s="258">
        <v>43565</v>
      </c>
      <c r="E10" s="259">
        <v>32</v>
      </c>
      <c r="F10" s="259">
        <f t="shared" si="1"/>
        <v>1.5238095238095237</v>
      </c>
      <c r="G10" s="253" t="str">
        <f t="shared" si="0"/>
        <v>||||||||||||||||||||||||||||||||</v>
      </c>
      <c r="H10" s="252"/>
      <c r="I10" s="252"/>
      <c r="J10" s="252"/>
      <c r="K10" s="252"/>
      <c r="L10" s="252"/>
      <c r="M10" s="252"/>
      <c r="N10" s="252"/>
      <c r="O10" s="252"/>
      <c r="P10" s="252"/>
    </row>
    <row r="11" spans="2:16">
      <c r="B11" s="251" t="s">
        <v>1107</v>
      </c>
      <c r="C11" s="258">
        <v>43535</v>
      </c>
      <c r="D11" s="258">
        <v>43565</v>
      </c>
      <c r="E11" s="259">
        <v>30.5</v>
      </c>
      <c r="F11" s="259">
        <f t="shared" si="1"/>
        <v>1.4523809523809523</v>
      </c>
      <c r="G11" s="253" t="str">
        <f t="shared" si="0"/>
        <v>||||||||||||||||||||||||||||||</v>
      </c>
      <c r="H11" s="252"/>
      <c r="I11" s="252"/>
      <c r="J11" s="252"/>
      <c r="K11" s="252"/>
      <c r="L11" s="252"/>
      <c r="M11" s="252"/>
      <c r="N11" s="252"/>
      <c r="O11" s="252"/>
      <c r="P11" s="252"/>
    </row>
    <row r="12" spans="2:16">
      <c r="B12" s="251" t="s">
        <v>1171</v>
      </c>
      <c r="C12" s="258">
        <v>43535</v>
      </c>
      <c r="D12" s="258">
        <v>43565</v>
      </c>
      <c r="E12" s="259">
        <v>29.5</v>
      </c>
      <c r="F12" s="259">
        <f t="shared" si="1"/>
        <v>1.4047619047619047</v>
      </c>
      <c r="G12" s="253" t="str">
        <f t="shared" si="0"/>
        <v>|||||||||||||||||||||||||||||</v>
      </c>
      <c r="H12" s="252"/>
      <c r="I12" s="252"/>
      <c r="J12" s="252"/>
      <c r="K12" s="252"/>
      <c r="L12" s="252"/>
      <c r="M12" s="252"/>
      <c r="N12" s="252"/>
      <c r="O12" s="252"/>
      <c r="P12" s="252"/>
    </row>
    <row r="13" spans="2:16">
      <c r="D13" s="208" t="s">
        <v>3</v>
      </c>
      <c r="E13" s="255">
        <f>SUM(E7:E12)</f>
        <v>273</v>
      </c>
      <c r="F13" s="255">
        <f>E13/$B$4</f>
        <v>13</v>
      </c>
    </row>
  </sheetData>
  <sortState ref="A7:L78">
    <sortCondition ref="A7:A49"/>
    <sortCondition ref="B7:B49"/>
  </sortState>
  <dataConsolidate/>
  <mergeCells count="1">
    <mergeCell ref="G6:P6"/>
  </mergeCells>
  <phoneticPr fontId="2"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Normal="100" workbookViewId="0">
      <pane ySplit="1" topLeftCell="A2" activePane="bottomLeft" state="frozenSplit"/>
      <selection pane="bottomLeft" activeCell="A49" sqref="A49"/>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1000</v>
      </c>
      <c r="B1" s="17"/>
      <c r="C1" s="17"/>
      <c r="D1" s="17"/>
      <c r="E1" s="17"/>
      <c r="F1" s="17"/>
      <c r="G1" s="17"/>
      <c r="H1" s="17"/>
    </row>
    <row r="2" spans="1:9" s="81" customFormat="1" ht="78.75" customHeight="1">
      <c r="A2" s="244" t="s">
        <v>1001</v>
      </c>
      <c r="B2" s="244"/>
      <c r="C2" s="244"/>
      <c r="D2" s="244"/>
      <c r="E2" s="244"/>
      <c r="F2" s="244"/>
      <c r="G2" s="244"/>
      <c r="H2" s="244"/>
    </row>
    <row r="3" spans="1:9" s="81" customFormat="1" ht="24.75" customHeight="1">
      <c r="A3" s="245" t="s">
        <v>1002</v>
      </c>
      <c r="B3" s="245"/>
      <c r="D3" s="245" t="s">
        <v>1003</v>
      </c>
      <c r="E3" s="245"/>
      <c r="G3" s="245" t="s">
        <v>1004</v>
      </c>
      <c r="H3" s="245"/>
    </row>
    <row r="4" spans="1:9" s="83" customFormat="1" ht="19.5" customHeight="1">
      <c r="A4" s="82" t="s">
        <v>1005</v>
      </c>
      <c r="B4" s="82" t="s">
        <v>1007</v>
      </c>
      <c r="D4" s="82" t="s">
        <v>1006</v>
      </c>
      <c r="E4" s="82" t="s">
        <v>1008</v>
      </c>
      <c r="G4" s="82" t="s">
        <v>1006</v>
      </c>
      <c r="H4" s="82" t="s">
        <v>1007</v>
      </c>
    </row>
    <row r="5" spans="1:9" ht="17.399999999999999">
      <c r="A5" s="210" t="s">
        <v>1026</v>
      </c>
      <c r="B5" s="119">
        <v>43498</v>
      </c>
      <c r="C5" s="86" t="str">
        <f t="shared" ref="C5:C68" si="0">IF(B5&gt;0,TEXT(B5,"(aaa)"),"")</f>
        <v>(토)</v>
      </c>
      <c r="D5" s="84"/>
      <c r="E5" s="85"/>
      <c r="F5" s="86" t="str">
        <f t="shared" ref="F5:F68" si="1">IF(E5&gt;0,TEXT(E5,"(aaa)"),"")</f>
        <v/>
      </c>
      <c r="G5" s="84"/>
      <c r="H5" s="85"/>
      <c r="I5" s="86" t="str">
        <f t="shared" ref="I5:I68" si="2">IF(H5&gt;0,TEXT(H5,"(aaa)"),"")</f>
        <v/>
      </c>
    </row>
    <row r="6" spans="1:9" ht="17.399999999999999">
      <c r="A6" s="210" t="s">
        <v>1027</v>
      </c>
      <c r="B6" s="119">
        <v>43499</v>
      </c>
      <c r="C6" s="86" t="str">
        <f t="shared" si="0"/>
        <v>(일)</v>
      </c>
      <c r="D6" s="84"/>
      <c r="E6" s="85"/>
      <c r="F6" s="86" t="str">
        <f t="shared" si="1"/>
        <v/>
      </c>
      <c r="G6" s="84"/>
      <c r="H6" s="85"/>
      <c r="I6" s="86" t="str">
        <f t="shared" si="2"/>
        <v/>
      </c>
    </row>
    <row r="7" spans="1:9" ht="17.399999999999999">
      <c r="A7" s="210" t="s">
        <v>1028</v>
      </c>
      <c r="B7" s="119">
        <v>43500</v>
      </c>
      <c r="C7" s="86" t="str">
        <f t="shared" si="0"/>
        <v>(월)</v>
      </c>
      <c r="D7" s="84"/>
      <c r="E7" s="85"/>
      <c r="F7" s="86" t="str">
        <f t="shared" si="1"/>
        <v/>
      </c>
      <c r="G7" s="84"/>
      <c r="H7" s="85"/>
      <c r="I7" s="86" t="str">
        <f t="shared" si="2"/>
        <v/>
      </c>
    </row>
    <row r="8" spans="1:9" ht="17.399999999999999">
      <c r="A8" s="210" t="s">
        <v>1028</v>
      </c>
      <c r="B8" s="119">
        <v>43501</v>
      </c>
      <c r="C8" s="86" t="str">
        <f t="shared" si="0"/>
        <v>(화)</v>
      </c>
      <c r="D8" s="84"/>
      <c r="E8" s="85"/>
      <c r="F8" s="86" t="str">
        <f t="shared" si="1"/>
        <v/>
      </c>
      <c r="G8" s="84"/>
      <c r="H8" s="85"/>
      <c r="I8" s="86" t="str">
        <f t="shared" si="2"/>
        <v/>
      </c>
    </row>
    <row r="9" spans="1:9" ht="17.399999999999999">
      <c r="A9" s="210" t="s">
        <v>1029</v>
      </c>
      <c r="B9" s="119">
        <v>43502</v>
      </c>
      <c r="C9" s="86" t="str">
        <f t="shared" si="0"/>
        <v>(수)</v>
      </c>
      <c r="D9" s="84"/>
      <c r="E9" s="85"/>
      <c r="F9" s="86" t="str">
        <f t="shared" si="1"/>
        <v/>
      </c>
      <c r="G9" s="84"/>
      <c r="H9" s="85"/>
      <c r="I9" s="86" t="str">
        <f t="shared" si="2"/>
        <v/>
      </c>
    </row>
    <row r="10" spans="1:9" ht="17.399999999999999">
      <c r="A10" s="210" t="s">
        <v>1030</v>
      </c>
      <c r="B10" s="119">
        <v>43505</v>
      </c>
      <c r="C10" s="86" t="str">
        <f t="shared" si="0"/>
        <v>(토)</v>
      </c>
      <c r="D10" s="84"/>
      <c r="E10" s="85"/>
      <c r="F10" s="86" t="str">
        <f t="shared" si="1"/>
        <v/>
      </c>
      <c r="G10" s="84"/>
      <c r="H10" s="85"/>
      <c r="I10" s="86" t="str">
        <f t="shared" si="2"/>
        <v/>
      </c>
    </row>
    <row r="11" spans="1:9" ht="17.399999999999999">
      <c r="A11" s="210" t="s">
        <v>1027</v>
      </c>
      <c r="B11" s="119">
        <v>43506</v>
      </c>
      <c r="C11" s="86" t="str">
        <f t="shared" si="0"/>
        <v>(일)</v>
      </c>
      <c r="D11" s="84"/>
      <c r="E11" s="85"/>
      <c r="F11" s="86" t="str">
        <f t="shared" si="1"/>
        <v/>
      </c>
      <c r="G11" s="84"/>
      <c r="H11" s="85"/>
      <c r="I11" s="86" t="str">
        <f t="shared" si="2"/>
        <v/>
      </c>
    </row>
    <row r="12" spans="1:9" ht="17.399999999999999">
      <c r="A12" s="210" t="s">
        <v>1030</v>
      </c>
      <c r="B12" s="119">
        <v>43512</v>
      </c>
      <c r="C12" s="86" t="str">
        <f t="shared" si="0"/>
        <v>(토)</v>
      </c>
      <c r="D12" s="84"/>
      <c r="E12" s="85"/>
      <c r="F12" s="86" t="str">
        <f t="shared" si="1"/>
        <v/>
      </c>
      <c r="G12" s="84"/>
      <c r="H12" s="85"/>
      <c r="I12" s="86" t="str">
        <f t="shared" si="2"/>
        <v/>
      </c>
    </row>
    <row r="13" spans="1:9" ht="17.399999999999999">
      <c r="A13" s="210" t="s">
        <v>1030</v>
      </c>
      <c r="B13" s="119">
        <v>43513</v>
      </c>
      <c r="C13" s="86" t="str">
        <f t="shared" si="0"/>
        <v>(일)</v>
      </c>
      <c r="D13" s="84"/>
      <c r="E13" s="85"/>
      <c r="F13" s="86" t="str">
        <f t="shared" si="1"/>
        <v/>
      </c>
      <c r="G13" s="84"/>
      <c r="H13" s="85"/>
      <c r="I13" s="86" t="str">
        <f t="shared" si="2"/>
        <v/>
      </c>
    </row>
    <row r="14" spans="1:9" ht="17.399999999999999">
      <c r="A14" s="210" t="s">
        <v>1030</v>
      </c>
      <c r="B14" s="119">
        <v>43519</v>
      </c>
      <c r="C14" s="86" t="str">
        <f t="shared" si="0"/>
        <v>(토)</v>
      </c>
      <c r="D14" s="84"/>
      <c r="E14" s="85"/>
      <c r="F14" s="86" t="str">
        <f t="shared" si="1"/>
        <v/>
      </c>
      <c r="G14" s="84"/>
      <c r="H14" s="85"/>
      <c r="I14" s="86" t="str">
        <f t="shared" si="2"/>
        <v/>
      </c>
    </row>
    <row r="15" spans="1:9" ht="17.399999999999999">
      <c r="A15" s="210" t="s">
        <v>1030</v>
      </c>
      <c r="B15" s="119">
        <v>43520</v>
      </c>
      <c r="C15" s="86" t="str">
        <f t="shared" si="0"/>
        <v>(일)</v>
      </c>
      <c r="D15" s="84"/>
      <c r="E15" s="85"/>
      <c r="F15" s="86" t="str">
        <f t="shared" si="1"/>
        <v/>
      </c>
      <c r="G15" s="84"/>
      <c r="H15" s="85"/>
      <c r="I15" s="86" t="str">
        <f t="shared" si="2"/>
        <v/>
      </c>
    </row>
    <row r="16" spans="1:9" ht="17.399999999999999">
      <c r="A16" s="210" t="s">
        <v>1031</v>
      </c>
      <c r="B16" s="119">
        <v>43525</v>
      </c>
      <c r="C16" s="86" t="str">
        <f t="shared" si="0"/>
        <v>(금)</v>
      </c>
      <c r="D16" s="84"/>
      <c r="E16" s="85"/>
      <c r="F16" s="86" t="str">
        <f t="shared" si="1"/>
        <v/>
      </c>
      <c r="G16" s="84"/>
      <c r="H16" s="85"/>
      <c r="I16" s="86" t="str">
        <f t="shared" si="2"/>
        <v/>
      </c>
    </row>
    <row r="17" spans="1:10" ht="17.399999999999999">
      <c r="A17" s="210" t="s">
        <v>1032</v>
      </c>
      <c r="B17" s="119">
        <v>43526</v>
      </c>
      <c r="C17" s="86" t="str">
        <f>IF(B17&gt;0,TEXT(B17,"(aaa)"),"")</f>
        <v>(토)</v>
      </c>
      <c r="D17" s="84"/>
      <c r="E17" s="85"/>
      <c r="F17" s="86" t="str">
        <f t="shared" si="1"/>
        <v/>
      </c>
      <c r="G17" s="84"/>
      <c r="H17" s="85"/>
      <c r="I17" s="86" t="str">
        <f t="shared" si="2"/>
        <v/>
      </c>
    </row>
    <row r="18" spans="1:10" ht="17.399999999999999">
      <c r="A18" s="210" t="s">
        <v>1033</v>
      </c>
      <c r="B18" s="119">
        <v>43527</v>
      </c>
      <c r="C18" s="86" t="str">
        <f>IF(B18&gt;0,TEXT(B18,"(aaa)"),"")</f>
        <v>(일)</v>
      </c>
      <c r="D18" s="84"/>
      <c r="E18" s="85"/>
      <c r="F18" s="86" t="str">
        <f t="shared" si="1"/>
        <v/>
      </c>
      <c r="G18" s="84"/>
      <c r="H18" s="85"/>
      <c r="I18" s="86" t="str">
        <f t="shared" si="2"/>
        <v/>
      </c>
    </row>
    <row r="19" spans="1:10" ht="17.399999999999999">
      <c r="A19" s="211" t="s">
        <v>1034</v>
      </c>
      <c r="B19" s="119">
        <v>43540</v>
      </c>
      <c r="C19" s="86" t="str">
        <f>IF(B19&gt;0,TEXT(B19,"(aaa)"),"")</f>
        <v>(토)</v>
      </c>
      <c r="D19" s="84"/>
      <c r="E19" s="85"/>
      <c r="F19" s="86" t="str">
        <f t="shared" si="1"/>
        <v/>
      </c>
      <c r="G19" s="84"/>
      <c r="H19" s="85"/>
      <c r="I19" s="86" t="str">
        <f t="shared" si="2"/>
        <v/>
      </c>
      <c r="J19" s="87"/>
    </row>
    <row r="20" spans="1:10" ht="17.399999999999999">
      <c r="A20" s="211" t="s">
        <v>1034</v>
      </c>
      <c r="B20" s="119">
        <v>43541</v>
      </c>
      <c r="C20" s="86" t="str">
        <f t="shared" si="0"/>
        <v>(일)</v>
      </c>
      <c r="D20" s="84"/>
      <c r="E20" s="85"/>
      <c r="F20" s="86" t="str">
        <f t="shared" si="1"/>
        <v/>
      </c>
      <c r="G20" s="84"/>
      <c r="H20" s="85"/>
      <c r="I20" s="86" t="str">
        <f t="shared" si="2"/>
        <v/>
      </c>
      <c r="J20" s="87"/>
    </row>
    <row r="21" spans="1:10" ht="17.399999999999999">
      <c r="A21" s="211" t="s">
        <v>1034</v>
      </c>
      <c r="B21" s="119">
        <v>43547</v>
      </c>
      <c r="C21" s="86" t="str">
        <f t="shared" si="0"/>
        <v>(토)</v>
      </c>
      <c r="D21" s="84"/>
      <c r="E21" s="85"/>
      <c r="F21" s="86" t="str">
        <f t="shared" si="1"/>
        <v/>
      </c>
      <c r="G21" s="84"/>
      <c r="H21" s="85"/>
      <c r="I21" s="86" t="str">
        <f t="shared" si="2"/>
        <v/>
      </c>
    </row>
    <row r="22" spans="1:10" ht="17.399999999999999">
      <c r="A22" s="211" t="s">
        <v>1035</v>
      </c>
      <c r="B22" s="119">
        <v>43548</v>
      </c>
      <c r="C22" s="86" t="str">
        <f t="shared" si="0"/>
        <v>(일)</v>
      </c>
      <c r="D22" s="84"/>
      <c r="E22" s="85"/>
      <c r="F22" s="86" t="str">
        <f t="shared" si="1"/>
        <v/>
      </c>
      <c r="G22" s="84"/>
      <c r="H22" s="85"/>
      <c r="I22" s="86" t="str">
        <f t="shared" si="2"/>
        <v/>
      </c>
    </row>
    <row r="23" spans="1:10" ht="17.399999999999999">
      <c r="A23" s="211" t="s">
        <v>1034</v>
      </c>
      <c r="B23" s="119">
        <v>43554</v>
      </c>
      <c r="C23" s="86" t="str">
        <f t="shared" si="0"/>
        <v>(토)</v>
      </c>
      <c r="D23" s="84"/>
      <c r="E23" s="85"/>
      <c r="F23" s="86" t="str">
        <f t="shared" si="1"/>
        <v/>
      </c>
      <c r="G23" s="84"/>
      <c r="H23" s="85"/>
      <c r="I23" s="86" t="str">
        <f t="shared" si="2"/>
        <v/>
      </c>
    </row>
    <row r="24" spans="1:10" ht="17.399999999999999">
      <c r="A24" s="211" t="s">
        <v>1034</v>
      </c>
      <c r="B24" s="119">
        <v>43555</v>
      </c>
      <c r="C24" s="86" t="str">
        <f t="shared" si="0"/>
        <v>(일)</v>
      </c>
      <c r="D24" s="84"/>
      <c r="E24" s="85"/>
      <c r="F24" s="86" t="str">
        <f t="shared" si="1"/>
        <v/>
      </c>
      <c r="G24" s="84"/>
      <c r="H24" s="85"/>
      <c r="I24" s="86" t="str">
        <f t="shared" si="2"/>
        <v/>
      </c>
    </row>
    <row r="25" spans="1:10" ht="17.399999999999999">
      <c r="A25" s="211" t="s">
        <v>1036</v>
      </c>
      <c r="B25" s="119">
        <v>43561</v>
      </c>
      <c r="C25" s="86" t="str">
        <f t="shared" si="0"/>
        <v>(토)</v>
      </c>
      <c r="D25" s="84"/>
      <c r="E25" s="85"/>
      <c r="F25" s="86" t="str">
        <f t="shared" si="1"/>
        <v/>
      </c>
      <c r="G25" s="84"/>
      <c r="H25" s="85"/>
      <c r="I25" s="86" t="str">
        <f t="shared" si="2"/>
        <v/>
      </c>
    </row>
    <row r="26" spans="1:10" ht="17.399999999999999">
      <c r="A26" s="211" t="s">
        <v>1036</v>
      </c>
      <c r="B26" s="119">
        <v>43562</v>
      </c>
      <c r="C26" s="86" t="str">
        <f t="shared" si="0"/>
        <v>(일)</v>
      </c>
      <c r="D26" s="84"/>
      <c r="E26" s="85"/>
      <c r="F26" s="86" t="str">
        <f t="shared" si="1"/>
        <v/>
      </c>
      <c r="G26" s="84"/>
      <c r="H26" s="85"/>
      <c r="I26" s="86" t="str">
        <f t="shared" si="2"/>
        <v/>
      </c>
    </row>
    <row r="27" spans="1:10" ht="17.399999999999999">
      <c r="A27" s="211" t="s">
        <v>1036</v>
      </c>
      <c r="B27" s="119">
        <v>43568</v>
      </c>
      <c r="C27" s="86" t="str">
        <f t="shared" si="0"/>
        <v>(토)</v>
      </c>
      <c r="D27" s="84"/>
      <c r="E27" s="85"/>
      <c r="F27" s="86" t="str">
        <f t="shared" si="1"/>
        <v/>
      </c>
      <c r="G27" s="84"/>
      <c r="H27" s="85"/>
      <c r="I27" s="86" t="str">
        <f t="shared" si="2"/>
        <v/>
      </c>
    </row>
    <row r="28" spans="1:10" ht="17.399999999999999">
      <c r="A28" s="211" t="s">
        <v>1036</v>
      </c>
      <c r="B28" s="119">
        <v>43569</v>
      </c>
      <c r="C28" s="86" t="str">
        <f t="shared" si="0"/>
        <v>(일)</v>
      </c>
      <c r="D28" s="84"/>
      <c r="E28" s="85"/>
      <c r="F28" s="86" t="str">
        <f t="shared" si="1"/>
        <v/>
      </c>
      <c r="G28" s="84"/>
      <c r="H28" s="85"/>
      <c r="I28" s="86" t="str">
        <f t="shared" si="2"/>
        <v/>
      </c>
    </row>
    <row r="29" spans="1:10" ht="17.399999999999999">
      <c r="A29" s="211" t="s">
        <v>1037</v>
      </c>
      <c r="B29" s="119">
        <v>43575</v>
      </c>
      <c r="C29" s="86" t="str">
        <f t="shared" si="0"/>
        <v>(토)</v>
      </c>
      <c r="D29" s="84"/>
      <c r="E29" s="85"/>
      <c r="F29" s="86" t="str">
        <f t="shared" si="1"/>
        <v/>
      </c>
      <c r="G29" s="84"/>
      <c r="H29" s="85"/>
      <c r="I29" s="86" t="str">
        <f t="shared" si="2"/>
        <v/>
      </c>
    </row>
    <row r="30" spans="1:10" ht="17.399999999999999">
      <c r="A30" s="211" t="s">
        <v>1036</v>
      </c>
      <c r="B30" s="119">
        <v>43576</v>
      </c>
      <c r="C30" s="86" t="str">
        <f t="shared" si="0"/>
        <v>(일)</v>
      </c>
      <c r="D30" s="84"/>
      <c r="E30" s="85"/>
      <c r="F30" s="86" t="str">
        <f t="shared" si="1"/>
        <v/>
      </c>
      <c r="G30" s="84"/>
      <c r="H30" s="85"/>
      <c r="I30" s="86" t="str">
        <f t="shared" si="2"/>
        <v/>
      </c>
    </row>
    <row r="31" spans="1:10" ht="17.399999999999999">
      <c r="A31" s="211" t="s">
        <v>1036</v>
      </c>
      <c r="B31" s="119">
        <v>43582</v>
      </c>
      <c r="C31" s="86" t="str">
        <f t="shared" si="0"/>
        <v>(토)</v>
      </c>
      <c r="D31" s="84"/>
      <c r="E31" s="85"/>
      <c r="F31" s="86" t="str">
        <f t="shared" si="1"/>
        <v/>
      </c>
      <c r="G31" s="84"/>
      <c r="H31" s="85"/>
      <c r="I31" s="86" t="str">
        <f t="shared" si="2"/>
        <v/>
      </c>
    </row>
    <row r="32" spans="1:10" ht="17.399999999999999">
      <c r="A32" s="211" t="s">
        <v>1036</v>
      </c>
      <c r="B32" s="119">
        <v>43583</v>
      </c>
      <c r="C32" s="86" t="str">
        <f t="shared" si="0"/>
        <v>(일)</v>
      </c>
      <c r="D32" s="84"/>
      <c r="E32" s="85"/>
      <c r="F32" s="86" t="str">
        <f t="shared" si="1"/>
        <v/>
      </c>
      <c r="G32" s="84"/>
      <c r="H32" s="85"/>
      <c r="I32" s="86" t="str">
        <f t="shared" si="2"/>
        <v/>
      </c>
    </row>
    <row r="33" spans="1:9" ht="17.399999999999999">
      <c r="A33" s="211" t="s">
        <v>1038</v>
      </c>
      <c r="B33" s="119">
        <v>43589</v>
      </c>
      <c r="C33" s="86" t="str">
        <f t="shared" si="0"/>
        <v>(토)</v>
      </c>
      <c r="D33" s="84"/>
      <c r="E33" s="85"/>
      <c r="F33" s="86" t="str">
        <f t="shared" si="1"/>
        <v/>
      </c>
      <c r="G33" s="84"/>
      <c r="H33" s="85"/>
      <c r="I33" s="86" t="str">
        <f t="shared" si="2"/>
        <v/>
      </c>
    </row>
    <row r="34" spans="1:9" ht="17.399999999999999">
      <c r="A34" s="211" t="s">
        <v>1038</v>
      </c>
      <c r="B34" s="119">
        <v>43590</v>
      </c>
      <c r="C34" s="86" t="str">
        <f t="shared" si="0"/>
        <v>(일)</v>
      </c>
      <c r="D34" s="84"/>
      <c r="E34" s="85"/>
      <c r="F34" s="86" t="str">
        <f t="shared" si="1"/>
        <v/>
      </c>
      <c r="G34" s="84"/>
      <c r="H34" s="85"/>
      <c r="I34" s="86" t="str">
        <f t="shared" si="2"/>
        <v/>
      </c>
    </row>
    <row r="35" spans="1:9" ht="17.399999999999999">
      <c r="A35" s="211" t="s">
        <v>1039</v>
      </c>
      <c r="B35" s="119">
        <v>43591</v>
      </c>
      <c r="C35" s="86" t="str">
        <f t="shared" si="0"/>
        <v>(월)</v>
      </c>
      <c r="D35" s="84"/>
      <c r="E35" s="85"/>
      <c r="F35" s="86" t="str">
        <f t="shared" si="1"/>
        <v/>
      </c>
      <c r="G35" s="84"/>
      <c r="H35" s="85"/>
      <c r="I35" s="86" t="str">
        <f t="shared" si="2"/>
        <v/>
      </c>
    </row>
    <row r="36" spans="1:9" ht="17.399999999999999">
      <c r="A36" s="211" t="s">
        <v>1040</v>
      </c>
      <c r="B36" s="119">
        <v>43596</v>
      </c>
      <c r="C36" s="86" t="str">
        <f t="shared" si="0"/>
        <v>(토)</v>
      </c>
      <c r="D36" s="84"/>
      <c r="E36" s="85"/>
      <c r="F36" s="86" t="str">
        <f t="shared" si="1"/>
        <v/>
      </c>
      <c r="G36" s="84"/>
      <c r="H36" s="85"/>
      <c r="I36" s="86" t="str">
        <f t="shared" si="2"/>
        <v/>
      </c>
    </row>
    <row r="37" spans="1:9" ht="17.399999999999999">
      <c r="A37" s="211" t="s">
        <v>1040</v>
      </c>
      <c r="B37" s="119">
        <v>43597</v>
      </c>
      <c r="C37" s="86" t="str">
        <f t="shared" si="0"/>
        <v>(일)</v>
      </c>
      <c r="D37" s="84"/>
      <c r="E37" s="85"/>
      <c r="F37" s="86" t="str">
        <f t="shared" si="1"/>
        <v/>
      </c>
      <c r="G37" s="84"/>
      <c r="H37" s="85"/>
      <c r="I37" s="86" t="str">
        <f t="shared" si="2"/>
        <v/>
      </c>
    </row>
    <row r="38" spans="1:9" ht="17.399999999999999">
      <c r="A38" s="211" t="s">
        <v>1040</v>
      </c>
      <c r="B38" s="119">
        <v>43603</v>
      </c>
      <c r="C38" s="86" t="str">
        <f t="shared" si="0"/>
        <v>(토)</v>
      </c>
      <c r="D38" s="84"/>
      <c r="E38" s="85"/>
      <c r="F38" s="86" t="str">
        <f t="shared" si="1"/>
        <v/>
      </c>
      <c r="G38" s="84"/>
      <c r="H38" s="85"/>
      <c r="I38" s="86" t="str">
        <f t="shared" si="2"/>
        <v/>
      </c>
    </row>
    <row r="39" spans="1:9" ht="17.399999999999999">
      <c r="A39" s="211" t="s">
        <v>1040</v>
      </c>
      <c r="B39" s="119">
        <v>43604</v>
      </c>
      <c r="C39" s="86" t="str">
        <f t="shared" si="0"/>
        <v>(일)</v>
      </c>
      <c r="D39" s="84"/>
      <c r="E39" s="85"/>
      <c r="F39" s="86" t="str">
        <f t="shared" si="1"/>
        <v/>
      </c>
      <c r="G39" s="84"/>
      <c r="H39" s="85"/>
      <c r="I39" s="86" t="str">
        <f t="shared" si="2"/>
        <v/>
      </c>
    </row>
    <row r="40" spans="1:9" ht="17.399999999999999">
      <c r="A40" s="211" t="s">
        <v>1040</v>
      </c>
      <c r="B40" s="119">
        <v>43610</v>
      </c>
      <c r="C40" s="86" t="str">
        <f t="shared" si="0"/>
        <v>(토)</v>
      </c>
      <c r="D40" s="84"/>
      <c r="E40" s="85"/>
      <c r="F40" s="86" t="str">
        <f t="shared" si="1"/>
        <v/>
      </c>
      <c r="G40" s="84"/>
      <c r="H40" s="85"/>
      <c r="I40" s="86" t="str">
        <f t="shared" si="2"/>
        <v/>
      </c>
    </row>
    <row r="41" spans="1:9" ht="17.399999999999999">
      <c r="A41" s="211" t="s">
        <v>1040</v>
      </c>
      <c r="B41" s="119">
        <v>43611</v>
      </c>
      <c r="C41" s="86" t="str">
        <f t="shared" si="0"/>
        <v>(일)</v>
      </c>
      <c r="D41" s="84"/>
      <c r="E41" s="85"/>
      <c r="F41" s="86" t="str">
        <f t="shared" si="1"/>
        <v/>
      </c>
      <c r="G41" s="84"/>
      <c r="H41" s="85"/>
      <c r="I41" s="86" t="str">
        <f t="shared" si="2"/>
        <v/>
      </c>
    </row>
    <row r="42" spans="1:9" ht="17.399999999999999">
      <c r="A42" s="211" t="s">
        <v>1041</v>
      </c>
      <c r="B42" s="119">
        <v>43617</v>
      </c>
      <c r="C42" s="86" t="str">
        <f t="shared" si="0"/>
        <v>(토)</v>
      </c>
      <c r="D42" s="84"/>
      <c r="E42" s="85"/>
      <c r="F42" s="86" t="str">
        <f t="shared" si="1"/>
        <v/>
      </c>
      <c r="G42" s="84"/>
      <c r="H42" s="85"/>
      <c r="I42" s="86" t="str">
        <f t="shared" si="2"/>
        <v/>
      </c>
    </row>
    <row r="43" spans="1:9" ht="17.399999999999999">
      <c r="A43" s="211" t="s">
        <v>1042</v>
      </c>
      <c r="B43" s="119">
        <v>43618</v>
      </c>
      <c r="C43" s="86" t="str">
        <f t="shared" si="0"/>
        <v>(일)</v>
      </c>
      <c r="D43" s="84"/>
      <c r="E43" s="85"/>
      <c r="F43" s="86" t="str">
        <f t="shared" si="1"/>
        <v/>
      </c>
      <c r="G43" s="84"/>
      <c r="H43" s="85"/>
      <c r="I43" s="86" t="str">
        <f t="shared" si="2"/>
        <v/>
      </c>
    </row>
    <row r="44" spans="1:9" ht="17.399999999999999">
      <c r="A44" s="211" t="s">
        <v>1043</v>
      </c>
      <c r="B44" s="119">
        <v>43622</v>
      </c>
      <c r="C44" s="86" t="str">
        <f t="shared" si="0"/>
        <v>(목)</v>
      </c>
      <c r="D44" s="84"/>
      <c r="E44" s="85"/>
      <c r="F44" s="86" t="str">
        <f t="shared" si="1"/>
        <v/>
      </c>
      <c r="G44" s="84"/>
      <c r="H44" s="85"/>
      <c r="I44" s="86" t="str">
        <f t="shared" si="2"/>
        <v/>
      </c>
    </row>
    <row r="45" spans="1:9" ht="17.399999999999999">
      <c r="A45" s="211" t="s">
        <v>1044</v>
      </c>
      <c r="B45" s="119">
        <v>43624</v>
      </c>
      <c r="C45" s="86" t="str">
        <f t="shared" si="0"/>
        <v>(토)</v>
      </c>
      <c r="D45" s="84"/>
      <c r="E45" s="85"/>
      <c r="F45" s="86" t="str">
        <f t="shared" si="1"/>
        <v/>
      </c>
      <c r="G45" s="84"/>
      <c r="H45" s="85"/>
      <c r="I45" s="86" t="str">
        <f t="shared" si="2"/>
        <v/>
      </c>
    </row>
    <row r="46" spans="1:9" ht="17.399999999999999">
      <c r="A46" s="211" t="s">
        <v>1044</v>
      </c>
      <c r="B46" s="119">
        <v>43625</v>
      </c>
      <c r="C46" s="86" t="str">
        <f t="shared" si="0"/>
        <v>(일)</v>
      </c>
      <c r="D46" s="84"/>
      <c r="E46" s="85"/>
      <c r="F46" s="86" t="str">
        <f t="shared" si="1"/>
        <v/>
      </c>
      <c r="G46" s="84"/>
      <c r="H46" s="85"/>
      <c r="I46" s="86" t="str">
        <f t="shared" si="2"/>
        <v/>
      </c>
    </row>
    <row r="47" spans="1:9" ht="17.399999999999999">
      <c r="A47" s="211" t="s">
        <v>1044</v>
      </c>
      <c r="B47" s="119">
        <v>43631</v>
      </c>
      <c r="C47" s="86" t="str">
        <f t="shared" si="0"/>
        <v>(토)</v>
      </c>
      <c r="D47" s="84"/>
      <c r="E47" s="85"/>
      <c r="F47" s="86" t="str">
        <f t="shared" si="1"/>
        <v/>
      </c>
      <c r="G47" s="84"/>
      <c r="H47" s="85"/>
      <c r="I47" s="86" t="str">
        <f t="shared" si="2"/>
        <v/>
      </c>
    </row>
    <row r="48" spans="1:9" ht="17.399999999999999">
      <c r="A48" s="211" t="s">
        <v>1044</v>
      </c>
      <c r="B48" s="119">
        <v>43632</v>
      </c>
      <c r="C48" s="86" t="str">
        <f t="shared" si="0"/>
        <v>(일)</v>
      </c>
      <c r="D48" s="84"/>
      <c r="E48" s="85"/>
      <c r="F48" s="86" t="str">
        <f t="shared" si="1"/>
        <v/>
      </c>
      <c r="G48" s="84"/>
      <c r="H48" s="85"/>
      <c r="I48" s="86" t="str">
        <f t="shared" si="2"/>
        <v/>
      </c>
    </row>
    <row r="49" spans="1:9" ht="15">
      <c r="A49" s="211" t="s">
        <v>1045</v>
      </c>
      <c r="B49" s="119">
        <v>43638</v>
      </c>
      <c r="C49" s="86" t="str">
        <f t="shared" si="0"/>
        <v>(토)</v>
      </c>
      <c r="D49" s="84"/>
      <c r="E49" s="85"/>
      <c r="F49" s="86" t="str">
        <f t="shared" si="1"/>
        <v/>
      </c>
      <c r="G49" s="84"/>
      <c r="H49" s="85"/>
      <c r="I49" s="86" t="str">
        <f t="shared" si="2"/>
        <v/>
      </c>
    </row>
    <row r="50" spans="1:9" ht="15">
      <c r="A50" s="211" t="s">
        <v>1045</v>
      </c>
      <c r="B50" s="119">
        <v>43639</v>
      </c>
      <c r="C50" s="86" t="str">
        <f t="shared" si="0"/>
        <v>(일)</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1009</v>
      </c>
      <c r="D305" s="86" t="s">
        <v>1009</v>
      </c>
      <c r="G305" s="86" t="s">
        <v>1009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Windows 사용자</cp:lastModifiedBy>
  <dcterms:created xsi:type="dcterms:W3CDTF">2018-02-18T09:45:14Z</dcterms:created>
  <dcterms:modified xsi:type="dcterms:W3CDTF">2019-03-16T07:49:06Z</dcterms:modified>
</cp:coreProperties>
</file>